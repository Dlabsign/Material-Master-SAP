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KAYUMEBEL\Videos\"/>
    </mc:Choice>
  </mc:AlternateContent>
  <xr:revisionPtr revIDLastSave="0" documentId="8_{8A7744CF-C7FD-4E1E-8885-3E9DAFF9FF58}" xr6:coauthVersionLast="47" xr6:coauthVersionMax="47" xr10:uidLastSave="{00000000-0000-0000-0000-000000000000}"/>
  <bookViews>
    <workbookView xWindow="-110" yWindow="-110" windowWidth="19420" windowHeight="10300" activeTab="2"/>
  </bookViews>
  <sheets>
    <sheet name="SUMBER" sheetId="1" r:id="rId1"/>
    <sheet name="BOM" sheetId="2" r:id="rId2"/>
    <sheet name="Hardware" sheetId="3" r:id="rId3"/>
    <sheet name="old" sheetId="7" state="hidden" r:id="rId4"/>
  </sheets>
  <externalReferences>
    <externalReference r:id="rId5"/>
  </externalReferences>
  <definedNames>
    <definedName name="_xlnm.Print_Area" localSheetId="1">BOM!$A$1:$S$90</definedName>
    <definedName name="_xlnm.Print_Area" localSheetId="2">Hardware!$A$1:$H$32</definedName>
    <definedName name="_xlnm.Print_Area" localSheetId="3">old!$A$1:$G$15</definedName>
    <definedName name="_xlnm.Print_Titles" localSheetId="1">BOM!$1:$12</definedName>
    <definedName name="_xlnm.Print_Titles" localSheetId="2">Hardware!$1:$11</definedName>
    <definedName name="_xlnm.Print_Titles" localSheetId="3">old!$1:$15</definedName>
    <definedName name="SINGLE_DRESSER_5313_3D">SUMBER!$A$1:$L$4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4" i="2" l="1"/>
  <c r="D78" i="2"/>
  <c r="A81" i="2"/>
  <c r="A78" i="2"/>
  <c r="E19" i="3"/>
  <c r="E18" i="3"/>
  <c r="E17" i="3"/>
  <c r="E16" i="3"/>
  <c r="R81" i="2"/>
  <c r="R82" i="2"/>
  <c r="O81" i="2"/>
  <c r="O82" i="2"/>
  <c r="P82" i="2" s="1"/>
  <c r="Q82" i="2" s="1"/>
  <c r="N81" i="2"/>
  <c r="N82" i="2"/>
  <c r="J82" i="2" s="1"/>
  <c r="M81" i="2"/>
  <c r="M82" i="2"/>
  <c r="H82" i="2"/>
  <c r="L81" i="2"/>
  <c r="L82" i="2" s="1"/>
  <c r="F82" i="2" s="1"/>
  <c r="D81" i="2"/>
  <c r="R78" i="2"/>
  <c r="R79" i="2"/>
  <c r="O78" i="2"/>
  <c r="O79" i="2"/>
  <c r="P79" i="2"/>
  <c r="Q79" i="2" s="1"/>
  <c r="N78" i="2"/>
  <c r="N79" i="2" s="1"/>
  <c r="J79" i="2" s="1"/>
  <c r="M78" i="2"/>
  <c r="M79" i="2"/>
  <c r="H79" i="2"/>
  <c r="L78" i="2"/>
  <c r="L79" i="2"/>
  <c r="F79" i="2" s="1"/>
  <c r="F6" i="2"/>
  <c r="C6" i="7"/>
  <c r="E14" i="3"/>
  <c r="A53" i="2"/>
  <c r="D53" i="2"/>
  <c r="L53" i="2"/>
  <c r="L54" i="2"/>
  <c r="F54" i="2" s="1"/>
  <c r="M53" i="2"/>
  <c r="M54" i="2"/>
  <c r="H54" i="2" s="1"/>
  <c r="N53" i="2"/>
  <c r="N54" i="2"/>
  <c r="J54" i="2"/>
  <c r="O53" i="2"/>
  <c r="O54" i="2" s="1"/>
  <c r="P54" i="2" s="1"/>
  <c r="Q54" i="2" s="1"/>
  <c r="R53" i="2"/>
  <c r="R54" i="2" s="1"/>
  <c r="A56" i="2"/>
  <c r="D56" i="2"/>
  <c r="L56" i="2"/>
  <c r="L57" i="2"/>
  <c r="F57" i="2" s="1"/>
  <c r="M56" i="2"/>
  <c r="M57" i="2"/>
  <c r="H57" i="2" s="1"/>
  <c r="N56" i="2"/>
  <c r="N57" i="2"/>
  <c r="J57" i="2"/>
  <c r="O56" i="2"/>
  <c r="O57" i="2" s="1"/>
  <c r="P57" i="2" s="1"/>
  <c r="R56" i="2"/>
  <c r="R57" i="2" s="1"/>
  <c r="A59" i="2"/>
  <c r="D59" i="2"/>
  <c r="L59" i="2"/>
  <c r="L60" i="2"/>
  <c r="F60" i="2" s="1"/>
  <c r="M59" i="2"/>
  <c r="M60" i="2"/>
  <c r="H60" i="2" s="1"/>
  <c r="N59" i="2"/>
  <c r="N60" i="2"/>
  <c r="J60" i="2"/>
  <c r="O59" i="2"/>
  <c r="O60" i="2" s="1"/>
  <c r="P60" i="2" s="1"/>
  <c r="Q60" i="2" s="1"/>
  <c r="R59" i="2"/>
  <c r="R60" i="2" s="1"/>
  <c r="A62" i="2"/>
  <c r="D62" i="2"/>
  <c r="L62" i="2"/>
  <c r="L63" i="2"/>
  <c r="F63" i="2" s="1"/>
  <c r="M62" i="2"/>
  <c r="M63" i="2"/>
  <c r="H63" i="2" s="1"/>
  <c r="N62" i="2"/>
  <c r="N63" i="2"/>
  <c r="J63" i="2"/>
  <c r="O62" i="2"/>
  <c r="P63" i="2"/>
  <c r="R62" i="2"/>
  <c r="R63" i="2"/>
  <c r="R64" i="2" s="1"/>
  <c r="A66" i="2"/>
  <c r="D66" i="2"/>
  <c r="L66" i="2"/>
  <c r="F67" i="2"/>
  <c r="M66" i="2"/>
  <c r="M67" i="2" s="1"/>
  <c r="H67" i="2" s="1"/>
  <c r="N66" i="2"/>
  <c r="N67" i="2" s="1"/>
  <c r="J67" i="2" s="1"/>
  <c r="O66" i="2"/>
  <c r="P67" i="2"/>
  <c r="R66" i="2"/>
  <c r="R67" i="2"/>
  <c r="A69" i="2"/>
  <c r="D69" i="2"/>
  <c r="L69" i="2"/>
  <c r="L70" i="2" s="1"/>
  <c r="F70" i="2" s="1"/>
  <c r="M69" i="2"/>
  <c r="M70" i="2"/>
  <c r="H70" i="2"/>
  <c r="N69" i="2"/>
  <c r="N70" i="2" s="1"/>
  <c r="J70" i="2" s="1"/>
  <c r="O69" i="2"/>
  <c r="O70" i="2"/>
  <c r="P70" i="2"/>
  <c r="R69" i="2"/>
  <c r="R70" i="2"/>
  <c r="A72" i="2"/>
  <c r="D72" i="2"/>
  <c r="L72" i="2"/>
  <c r="L73" i="2" s="1"/>
  <c r="F73" i="2" s="1"/>
  <c r="M72" i="2"/>
  <c r="M73" i="2"/>
  <c r="H73" i="2"/>
  <c r="N72" i="2"/>
  <c r="N73" i="2" s="1"/>
  <c r="J73" i="2" s="1"/>
  <c r="Q73" i="2" s="1"/>
  <c r="O72" i="2"/>
  <c r="O73" i="2"/>
  <c r="P73" i="2"/>
  <c r="R72" i="2"/>
  <c r="R73" i="2"/>
  <c r="A75" i="2"/>
  <c r="D75" i="2"/>
  <c r="L75" i="2"/>
  <c r="L76" i="2" s="1"/>
  <c r="F76" i="2" s="1"/>
  <c r="M75" i="2"/>
  <c r="M76" i="2"/>
  <c r="H76" i="2"/>
  <c r="N75" i="2"/>
  <c r="N76" i="2" s="1"/>
  <c r="J76" i="2" s="1"/>
  <c r="O75" i="2"/>
  <c r="O76" i="2"/>
  <c r="P76" i="2"/>
  <c r="R75" i="2"/>
  <c r="R76" i="2"/>
  <c r="R50" i="2"/>
  <c r="R51" i="2" s="1"/>
  <c r="O50" i="2"/>
  <c r="O51" i="2" s="1"/>
  <c r="P51" i="2" s="1"/>
  <c r="Q51" i="2" s="1"/>
  <c r="N50" i="2"/>
  <c r="N51" i="2"/>
  <c r="J51" i="2"/>
  <c r="M50" i="2"/>
  <c r="M51" i="2" s="1"/>
  <c r="H51" i="2" s="1"/>
  <c r="L50" i="2"/>
  <c r="L51" i="2"/>
  <c r="F51" i="2"/>
  <c r="D50" i="2"/>
  <c r="A50" i="2"/>
  <c r="R20" i="2"/>
  <c r="R21" i="2" s="1"/>
  <c r="R47" i="2"/>
  <c r="R48" i="2" s="1"/>
  <c r="O47" i="2"/>
  <c r="O48" i="2"/>
  <c r="P48" i="2"/>
  <c r="N47" i="2"/>
  <c r="N48" i="2" s="1"/>
  <c r="J48" i="2" s="1"/>
  <c r="M47" i="2"/>
  <c r="M48" i="2" s="1"/>
  <c r="H48" i="2" s="1"/>
  <c r="L47" i="2"/>
  <c r="L48" i="2"/>
  <c r="F48" i="2"/>
  <c r="D47" i="2"/>
  <c r="A47" i="2"/>
  <c r="E23" i="3"/>
  <c r="R44" i="2"/>
  <c r="R45" i="2"/>
  <c r="O44" i="2"/>
  <c r="O45" i="2"/>
  <c r="P45" i="2"/>
  <c r="N44" i="2"/>
  <c r="N45" i="2" s="1"/>
  <c r="J45" i="2" s="1"/>
  <c r="M44" i="2"/>
  <c r="M45" i="2"/>
  <c r="H45" i="2"/>
  <c r="L44" i="2"/>
  <c r="L45" i="2"/>
  <c r="F45" i="2" s="1"/>
  <c r="D44" i="2"/>
  <c r="A44" i="2"/>
  <c r="A29" i="2"/>
  <c r="D29" i="2"/>
  <c r="L29" i="2"/>
  <c r="L30" i="2"/>
  <c r="F30" i="2"/>
  <c r="M29" i="2"/>
  <c r="M30" i="2" s="1"/>
  <c r="H30" i="2" s="1"/>
  <c r="N29" i="2"/>
  <c r="N30" i="2"/>
  <c r="J30" i="2"/>
  <c r="O29" i="2"/>
  <c r="O30" i="2"/>
  <c r="P30" i="2" s="1"/>
  <c r="R29" i="2"/>
  <c r="R30" i="2"/>
  <c r="A32" i="2"/>
  <c r="D32" i="2"/>
  <c r="L32" i="2"/>
  <c r="L33" i="2"/>
  <c r="F33" i="2"/>
  <c r="M32" i="2"/>
  <c r="M33" i="2" s="1"/>
  <c r="H33" i="2" s="1"/>
  <c r="N32" i="2"/>
  <c r="N33" i="2"/>
  <c r="J33" i="2"/>
  <c r="O32" i="2"/>
  <c r="O33" i="2"/>
  <c r="P33" i="2" s="1"/>
  <c r="Q33" i="2" s="1"/>
  <c r="R32" i="2"/>
  <c r="R33" i="2"/>
  <c r="A35" i="2"/>
  <c r="D35" i="2"/>
  <c r="L35" i="2"/>
  <c r="L36" i="2"/>
  <c r="F36" i="2"/>
  <c r="M35" i="2"/>
  <c r="M36" i="2" s="1"/>
  <c r="H36" i="2" s="1"/>
  <c r="N35" i="2"/>
  <c r="N36" i="2"/>
  <c r="J36" i="2"/>
  <c r="O35" i="2"/>
  <c r="O36" i="2"/>
  <c r="P36" i="2" s="1"/>
  <c r="Q36" i="2" s="1"/>
  <c r="R35" i="2"/>
  <c r="R36" i="2"/>
  <c r="A38" i="2"/>
  <c r="D38" i="2"/>
  <c r="L38" i="2"/>
  <c r="L39" i="2"/>
  <c r="F39" i="2"/>
  <c r="M38" i="2"/>
  <c r="M39" i="2" s="1"/>
  <c r="H39" i="2" s="1"/>
  <c r="N38" i="2"/>
  <c r="N39" i="2"/>
  <c r="J39" i="2"/>
  <c r="O38" i="2"/>
  <c r="O39" i="2"/>
  <c r="P39" i="2" s="1"/>
  <c r="Q39" i="2" s="1"/>
  <c r="R38" i="2"/>
  <c r="R39" i="2"/>
  <c r="A41" i="2"/>
  <c r="D41" i="2"/>
  <c r="L41" i="2"/>
  <c r="L42" i="2"/>
  <c r="F42" i="2"/>
  <c r="M41" i="2"/>
  <c r="M42" i="2" s="1"/>
  <c r="H42" i="2" s="1"/>
  <c r="N41" i="2"/>
  <c r="N42" i="2"/>
  <c r="J42" i="2"/>
  <c r="O41" i="2"/>
  <c r="O42" i="2"/>
  <c r="P42" i="2" s="1"/>
  <c r="Q42" i="2" s="1"/>
  <c r="R41" i="2"/>
  <c r="R42" i="2"/>
  <c r="R26" i="2"/>
  <c r="R27" i="2"/>
  <c r="O26" i="2"/>
  <c r="O27" i="2"/>
  <c r="P27" i="2"/>
  <c r="N26" i="2"/>
  <c r="N27" i="2" s="1"/>
  <c r="J27" i="2" s="1"/>
  <c r="M26" i="2"/>
  <c r="M27" i="2"/>
  <c r="H27" i="2"/>
  <c r="L26" i="2"/>
  <c r="L27" i="2"/>
  <c r="F27" i="2" s="1"/>
  <c r="D26" i="2"/>
  <c r="A26" i="2"/>
  <c r="O20" i="2"/>
  <c r="O21" i="2"/>
  <c r="P21" i="2"/>
  <c r="N20" i="2"/>
  <c r="N21" i="2"/>
  <c r="J21" i="2" s="1"/>
  <c r="M20" i="2"/>
  <c r="M21" i="2"/>
  <c r="H21" i="2" s="1"/>
  <c r="L20" i="2"/>
  <c r="L21" i="2"/>
  <c r="F21" i="2"/>
  <c r="D20" i="2"/>
  <c r="A20" i="2"/>
  <c r="G20" i="7"/>
  <c r="F20" i="7"/>
  <c r="N20" i="7" s="1"/>
  <c r="H20" i="7" s="1"/>
  <c r="E20" i="7"/>
  <c r="H19" i="7"/>
  <c r="G19" i="7"/>
  <c r="F19" i="7"/>
  <c r="E19" i="7"/>
  <c r="G18" i="7"/>
  <c r="F18" i="7"/>
  <c r="E18" i="7"/>
  <c r="H18" i="7"/>
  <c r="G17" i="7"/>
  <c r="F17" i="7"/>
  <c r="H17" i="7" s="1"/>
  <c r="E17" i="7"/>
  <c r="A17" i="7"/>
  <c r="A18" i="7" s="1"/>
  <c r="A19" i="7" s="1"/>
  <c r="A20" i="7" s="1"/>
  <c r="G16" i="7"/>
  <c r="F16" i="7"/>
  <c r="H16" i="7" s="1"/>
  <c r="E16" i="7"/>
  <c r="C9" i="7"/>
  <c r="B9" i="7"/>
  <c r="B8" i="7"/>
  <c r="B7" i="7"/>
  <c r="B6" i="7"/>
  <c r="B5" i="7"/>
  <c r="B4" i="7"/>
  <c r="C3" i="7"/>
  <c r="B3" i="7"/>
  <c r="A23" i="2"/>
  <c r="D23" i="2"/>
  <c r="L23" i="2"/>
  <c r="L24" i="2"/>
  <c r="F24" i="2"/>
  <c r="M23" i="2"/>
  <c r="M24" i="2" s="1"/>
  <c r="H24" i="2" s="1"/>
  <c r="N23" i="2"/>
  <c r="N24" i="2"/>
  <c r="J24" i="2"/>
  <c r="O23" i="2"/>
  <c r="O24" i="2"/>
  <c r="P24" i="2" s="1"/>
  <c r="Q24" i="2" s="1"/>
  <c r="R23" i="2"/>
  <c r="R24" i="2"/>
  <c r="A2" i="3"/>
  <c r="G32" i="3"/>
  <c r="A17" i="2"/>
  <c r="A14" i="2"/>
  <c r="R85" i="2"/>
  <c r="G29" i="3" s="1"/>
  <c r="C4" i="3"/>
  <c r="C5" i="3"/>
  <c r="C6" i="3"/>
  <c r="C9" i="3"/>
  <c r="D14" i="2"/>
  <c r="L14" i="2"/>
  <c r="L15" i="2"/>
  <c r="F15" i="2" s="1"/>
  <c r="M14" i="2"/>
  <c r="M15" i="2"/>
  <c r="H15" i="2" s="1"/>
  <c r="N14" i="2"/>
  <c r="N15" i="2"/>
  <c r="J15" i="2"/>
  <c r="O14" i="2"/>
  <c r="O15" i="2" s="1"/>
  <c r="P15" i="2" s="1"/>
  <c r="R14" i="2"/>
  <c r="R15" i="2" s="1"/>
  <c r="D17" i="2"/>
  <c r="L17" i="2"/>
  <c r="L18" i="2"/>
  <c r="F18" i="2"/>
  <c r="M17" i="2"/>
  <c r="M18" i="2" s="1"/>
  <c r="H18" i="2" s="1"/>
  <c r="N17" i="2"/>
  <c r="N18" i="2"/>
  <c r="J18" i="2"/>
  <c r="O17" i="2"/>
  <c r="O18" i="2"/>
  <c r="P18" i="2" s="1"/>
  <c r="Q18" i="2" s="1"/>
  <c r="R17" i="2"/>
  <c r="R18" i="2"/>
  <c r="M64" i="2"/>
  <c r="H64" i="2" s="1"/>
  <c r="C7" i="3"/>
  <c r="Q27" i="2" l="1"/>
  <c r="Q76" i="2"/>
  <c r="Q67" i="2"/>
  <c r="Q57" i="2"/>
  <c r="Q15" i="2"/>
  <c r="Q30" i="2"/>
  <c r="Q48" i="2"/>
  <c r="Q21" i="2"/>
  <c r="Q70" i="2"/>
  <c r="Q63" i="2"/>
  <c r="Q45" i="2"/>
  <c r="N64" i="2"/>
  <c r="J64" i="2" s="1"/>
  <c r="L64" i="2"/>
  <c r="F64" i="2" s="1"/>
  <c r="Q64" i="2" l="1"/>
</calcChain>
</file>

<file path=xl/sharedStrings.xml><?xml version="1.0" encoding="utf-8"?>
<sst xmlns="http://schemas.openxmlformats.org/spreadsheetml/2006/main" count="290" uniqueCount="144">
  <si>
    <t>NOTE</t>
  </si>
  <si>
    <t>Bill Of Material</t>
  </si>
  <si>
    <t>Product Name</t>
  </si>
  <si>
    <t>Product Type</t>
  </si>
  <si>
    <t>Product code</t>
  </si>
  <si>
    <t xml:space="preserve">Size </t>
  </si>
  <si>
    <t>Tanggal</t>
  </si>
  <si>
    <t>Order</t>
  </si>
  <si>
    <t>KOMPONEN</t>
  </si>
  <si>
    <t>No.</t>
  </si>
  <si>
    <t>Code Number</t>
  </si>
  <si>
    <t>Part Name</t>
  </si>
  <si>
    <t>ROUGH  SIZE</t>
  </si>
  <si>
    <t>FINISH  SIZE</t>
  </si>
  <si>
    <t>Qty/ Item</t>
  </si>
  <si>
    <t>Qty/ Order</t>
  </si>
  <si>
    <t>M3/ M2</t>
  </si>
  <si>
    <t>Material</t>
  </si>
  <si>
    <t>Note</t>
  </si>
  <si>
    <t>T</t>
  </si>
  <si>
    <t>W</t>
  </si>
  <si>
    <t>L</t>
  </si>
  <si>
    <t>Disetujui</t>
  </si>
  <si>
    <t>Dibuat</t>
  </si>
  <si>
    <t>Eris</t>
  </si>
  <si>
    <t>Bill of  Material</t>
  </si>
  <si>
    <t>Code</t>
  </si>
  <si>
    <t>Painting</t>
  </si>
  <si>
    <t xml:space="preserve">: </t>
  </si>
  <si>
    <t>Revisi</t>
  </si>
  <si>
    <t>No.Code</t>
  </si>
  <si>
    <t>Nama Barang</t>
  </si>
  <si>
    <t>Jumlah</t>
  </si>
  <si>
    <t>Satuan</t>
  </si>
  <si>
    <t>Keterangan</t>
  </si>
  <si>
    <t>PF</t>
  </si>
  <si>
    <t>SF</t>
  </si>
  <si>
    <t>No</t>
  </si>
  <si>
    <t>FITTING</t>
  </si>
  <si>
    <t>TERBUNGKUS</t>
  </si>
  <si>
    <t>( Sample )</t>
  </si>
  <si>
    <t xml:space="preserve"> </t>
  </si>
  <si>
    <t xml:space="preserve">  </t>
  </si>
  <si>
    <t>Core</t>
  </si>
  <si>
    <t>SUB ASSY BODY</t>
  </si>
  <si>
    <t>REGENT CENTER</t>
  </si>
  <si>
    <t>14 November 2024</t>
  </si>
  <si>
    <t>Kode Barang</t>
  </si>
  <si>
    <t>Satuan.</t>
  </si>
  <si>
    <t>UKURAN</t>
  </si>
  <si>
    <t>Qty Order</t>
  </si>
  <si>
    <t>P</t>
  </si>
  <si>
    <t>Bill Of Hardware</t>
  </si>
  <si>
    <t>Diperiksa</t>
  </si>
  <si>
    <t>( Sample)</t>
  </si>
  <si>
    <t>CUSHION</t>
  </si>
  <si>
    <t>DUDUKAN</t>
  </si>
  <si>
    <t>40000167</t>
  </si>
  <si>
    <t>FOAM QUICK DRAY SOFT 50X1250X2350MM</t>
  </si>
  <si>
    <t>M3</t>
  </si>
  <si>
    <t>U/ Cushion Dudukan</t>
  </si>
  <si>
    <t>40000170</t>
  </si>
  <si>
    <t>FOAM QUICK DRAY MEDIUM 50X1250X2350MM</t>
  </si>
  <si>
    <t>FOAM QUICK DRAY FIRM 10X1250X2350MM</t>
  </si>
  <si>
    <t>Kg</t>
  </si>
  <si>
    <t>FABRIC</t>
  </si>
  <si>
    <t>M</t>
  </si>
  <si>
    <t>U/ Cover Atas</t>
  </si>
  <si>
    <t>RHUBSA00008</t>
  </si>
  <si>
    <t>DACRON ARNR 50Z LEBAR 2 M</t>
  </si>
  <si>
    <t>Mansur</t>
  </si>
  <si>
    <t>UPHOLSTERY</t>
  </si>
  <si>
    <t>FRONT LEG L</t>
  </si>
  <si>
    <t>FRONT LEG R</t>
  </si>
  <si>
    <t>BACK LEG L</t>
  </si>
  <si>
    <t>BACK LEG R</t>
  </si>
  <si>
    <t>Pcs</t>
  </si>
  <si>
    <t>ASSY BODY</t>
  </si>
  <si>
    <t>U/Leg</t>
  </si>
  <si>
    <t>RHSGLD00021</t>
  </si>
  <si>
    <t>GLIDER BULAT Ø20X6MM DMT BRWN</t>
  </si>
  <si>
    <t>GABBY</t>
  </si>
  <si>
    <t>RHSSCR00105</t>
  </si>
  <si>
    <t>SCREW JP (³) B1025 8MMX1-1/4" BLK OVS</t>
  </si>
  <si>
    <t>SL. Mahoni</t>
  </si>
  <si>
    <t>FRONT RAIL</t>
  </si>
  <si>
    <t>SIDE RAIL L</t>
  </si>
  <si>
    <t>BACK RAIL</t>
  </si>
  <si>
    <t>FRAME BACK REST 1</t>
  </si>
  <si>
    <t>FRAME BACK REST 2</t>
  </si>
  <si>
    <t>FRAME BACK REST 3</t>
  </si>
  <si>
    <t>FRAME BACK REST 4</t>
  </si>
  <si>
    <t>FRONT CORNER L</t>
  </si>
  <si>
    <t>FRONT CORNER R</t>
  </si>
  <si>
    <t>BACK CORNER L</t>
  </si>
  <si>
    <t>RHSSCR00006</t>
  </si>
  <si>
    <t>HEX SCREW 1/4"X3" Ø10MM ZINC DMT</t>
  </si>
  <si>
    <t>pcs</t>
  </si>
  <si>
    <t>u/ Corner Block ke Leg</t>
  </si>
  <si>
    <t>SL.Mahoni</t>
  </si>
  <si>
    <t>Alwy</t>
  </si>
  <si>
    <t>SL.White Beech</t>
  </si>
  <si>
    <t>3 Layer</t>
  </si>
  <si>
    <t>BRASS CAP L</t>
  </si>
  <si>
    <t>BRASS</t>
  </si>
  <si>
    <t>BRASS CAP R</t>
  </si>
  <si>
    <t>DOWEL 10X10X20</t>
  </si>
  <si>
    <t>Menggunakan Mal Tuscan Lama</t>
  </si>
  <si>
    <t>Long</t>
  </si>
  <si>
    <t>Cross</t>
  </si>
  <si>
    <t>ROTAN ANYAMAN SINTETIS</t>
  </si>
  <si>
    <t>SET</t>
  </si>
  <si>
    <t>U/Dudukan</t>
  </si>
  <si>
    <t>RHSBOL00027</t>
  </si>
  <si>
    <t>HEX HEAD BOLT 5/16"X3" Ø13 MM ZINC DMT</t>
  </si>
  <si>
    <t>RHSWAS0017</t>
  </si>
  <si>
    <t>FLAT WASHER RC0330 5/16"X19X1.5MM ZINC</t>
  </si>
  <si>
    <t>RHSWAS0023</t>
  </si>
  <si>
    <t>LOCK WASHER 8MM DMT ZINC</t>
  </si>
  <si>
    <t>RHSNUT00030</t>
  </si>
  <si>
    <t>PINAPLE NUT D0306 1/4"X10X20MM STEEL</t>
  </si>
  <si>
    <t>u/ Back Leg</t>
  </si>
  <si>
    <t>u/ Corner Cap</t>
  </si>
  <si>
    <t>U/Corner</t>
  </si>
  <si>
    <t>u/ Corner Block ke front Leg</t>
  </si>
  <si>
    <t>u/ Corner Block ke back Leg</t>
  </si>
  <si>
    <t>SIDE RAIL R</t>
  </si>
  <si>
    <t>STRETCHER SIDE 1 L</t>
  </si>
  <si>
    <t>STRETCHER SIDE 2 L</t>
  </si>
  <si>
    <t>STRETCHER SIDE 1 R</t>
  </si>
  <si>
    <t>STRETCHER SIDE 2 R</t>
  </si>
  <si>
    <t>FRAME BACK REST MIDDLE</t>
  </si>
  <si>
    <t xml:space="preserve">SL. Rubber </t>
  </si>
  <si>
    <t>HARDWOOD</t>
  </si>
  <si>
    <t>SL. Rubber</t>
  </si>
  <si>
    <t xml:space="preserve">BACK CORNER R </t>
  </si>
  <si>
    <t>BRASS STRETCHER</t>
  </si>
  <si>
    <t>DOWEL 10X10X30</t>
  </si>
  <si>
    <t>HAMBLIN BARSTOOL</t>
  </si>
  <si>
    <t>NT-325-2</t>
  </si>
  <si>
    <t>4 Oktober 2026</t>
  </si>
  <si>
    <t>BRASS METAL CAP UK. 22X22X32</t>
  </si>
  <si>
    <t>BRASS METAL STRETCHER UK. 19X19X498.5</t>
  </si>
  <si>
    <t>u/ front 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</si>
</sst>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84" formatCode="0.000"/>
    <numFmt numFmtId="185" formatCode="&quot;:&quot;\ 0&quot; Pcs&quot;"/>
    <numFmt numFmtId="186" formatCode="00000"/>
    <numFmt numFmtId="187" formatCode="0.0000"/>
    <numFmt numFmtId="188" formatCode="&quot;:&quot;\ 0\ &quot;Pcs&quot;"/>
    <numFmt numFmtId="194" formatCode="&quot;:&quot;\ @"/>
    <numFmt numFmtId="196" formatCode="&quot;: &quot;@"/>
  </numFmts>
  <fonts count="64" x14ac:knownFonts="1">
    <font>
      <sz val="10"/>
      <name val="MS Sans Serif"/>
    </font>
    <font>
      <sz val="10"/>
      <name val="MS Sans Serif"/>
      <family val="2"/>
    </font>
    <font>
      <sz val="10"/>
      <name val="MS Mincho"/>
      <family val="1"/>
    </font>
    <font>
      <sz val="10"/>
      <name val="MS Sans Serif"/>
      <family val="2"/>
    </font>
    <font>
      <sz val="14"/>
      <name val="Comic Sans MS"/>
      <family val="4"/>
    </font>
    <font>
      <b/>
      <sz val="24"/>
      <name val="Comic Sans MS"/>
      <family val="4"/>
    </font>
    <font>
      <sz val="10"/>
      <name val="Comic Sans MS"/>
      <family val="4"/>
    </font>
    <font>
      <b/>
      <sz val="18"/>
      <name val="Comic Sans MS"/>
      <family val="4"/>
    </font>
    <font>
      <b/>
      <sz val="18"/>
      <color indexed="8"/>
      <name val="Comic Sans MS"/>
      <family val="4"/>
    </font>
    <font>
      <sz val="18"/>
      <name val="Comic Sans MS"/>
      <family val="4"/>
    </font>
    <font>
      <sz val="18"/>
      <color indexed="8"/>
      <name val="Comic Sans MS"/>
      <family val="4"/>
    </font>
    <font>
      <b/>
      <i/>
      <sz val="18"/>
      <name val="Comic Sans MS"/>
      <family val="4"/>
    </font>
    <font>
      <b/>
      <sz val="16"/>
      <name val="Comic Sans MS"/>
      <family val="4"/>
    </font>
    <font>
      <sz val="16"/>
      <name val="Comic Sans MS"/>
      <family val="4"/>
    </font>
    <font>
      <b/>
      <sz val="11"/>
      <name val="Comic Sans MS"/>
      <family val="4"/>
    </font>
    <font>
      <b/>
      <sz val="10"/>
      <name val="Comic Sans MS"/>
      <family val="4"/>
    </font>
    <font>
      <sz val="12"/>
      <name val="Comic Sans MS"/>
      <family val="4"/>
    </font>
    <font>
      <b/>
      <sz val="12"/>
      <name val="Comic Sans MS"/>
      <family val="4"/>
    </font>
    <font>
      <b/>
      <i/>
      <sz val="12"/>
      <name val="Comic Sans MS"/>
      <family val="4"/>
    </font>
    <font>
      <i/>
      <sz val="12"/>
      <name val="Comic Sans MS"/>
      <family val="4"/>
    </font>
    <font>
      <b/>
      <sz val="16"/>
      <color indexed="8"/>
      <name val="Comic Sans MS"/>
      <family val="4"/>
    </font>
    <font>
      <sz val="11.5"/>
      <name val="Comic Sans MS"/>
      <family val="4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10"/>
      <name val="Times New Roman"/>
      <family val="1"/>
    </font>
    <font>
      <sz val="12"/>
      <name val="Arial"/>
      <family val="2"/>
    </font>
    <font>
      <sz val="14"/>
      <name val="Times New Roman"/>
      <family val="1"/>
    </font>
    <font>
      <sz val="14"/>
      <color indexed="10"/>
      <name val="Times New Roman"/>
      <family val="1"/>
    </font>
    <font>
      <sz val="10"/>
      <color indexed="10"/>
      <name val="MS Sans Serif"/>
      <family val="2"/>
    </font>
    <font>
      <b/>
      <sz val="10"/>
      <name val="MS Sans Serif"/>
      <family val="2"/>
    </font>
    <font>
      <sz val="13.5"/>
      <name val="MS Sans Serif"/>
      <family val="2"/>
    </font>
    <font>
      <sz val="14"/>
      <name val="MS Sans Serif"/>
      <family val="2"/>
    </font>
    <font>
      <sz val="14"/>
      <color indexed="10"/>
      <name val="MS Sans Serif"/>
      <family val="2"/>
    </font>
    <font>
      <b/>
      <sz val="14"/>
      <name val="MS Sans Serif"/>
      <family val="2"/>
    </font>
    <font>
      <b/>
      <sz val="14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8"/>
      <name val="Times New Roman"/>
      <family val="1"/>
    </font>
    <font>
      <b/>
      <sz val="20"/>
      <name val="Times New Roman"/>
      <family val="1"/>
    </font>
    <font>
      <b/>
      <sz val="18"/>
      <color indexed="10"/>
      <name val="Times New Roman"/>
      <family val="1"/>
    </font>
    <font>
      <b/>
      <sz val="12"/>
      <name val="Times New Roman"/>
      <family val="1"/>
    </font>
    <font>
      <b/>
      <sz val="20"/>
      <color indexed="10"/>
      <name val="Comic Sans MS"/>
      <family val="4"/>
    </font>
    <font>
      <b/>
      <sz val="20"/>
      <color indexed="10"/>
      <name val="Arial"/>
      <family val="2"/>
    </font>
    <font>
      <b/>
      <sz val="24"/>
      <color indexed="10"/>
      <name val="Times New Roman"/>
      <family val="1"/>
    </font>
    <font>
      <b/>
      <sz val="20"/>
      <name val="Comic Sans MS"/>
      <family val="4"/>
    </font>
    <font>
      <b/>
      <sz val="20"/>
      <name val="Arial"/>
      <family val="2"/>
    </font>
    <font>
      <b/>
      <sz val="24"/>
      <name val="Times New Roman"/>
      <family val="1"/>
    </font>
    <font>
      <b/>
      <sz val="16"/>
      <color indexed="10"/>
      <name val="Times New Roman"/>
      <family val="1"/>
    </font>
    <font>
      <sz val="12"/>
      <name val="Times New Roman"/>
      <family val="1"/>
    </font>
    <font>
      <sz val="22"/>
      <name val="Comic Sans MS"/>
      <family val="4"/>
    </font>
    <font>
      <sz val="12"/>
      <name val="Century Gothic"/>
      <family val="2"/>
    </font>
    <font>
      <sz val="11"/>
      <color theme="1"/>
      <name val="Calibri"/>
      <family val="2"/>
      <scheme val="minor"/>
    </font>
    <font>
      <sz val="14"/>
      <color rgb="FFFF0000"/>
      <name val="Comic Sans MS"/>
      <family val="4"/>
    </font>
    <font>
      <b/>
      <sz val="18"/>
      <color rgb="FFFF0000"/>
      <name val="Comic Sans MS"/>
      <family val="4"/>
    </font>
    <font>
      <sz val="18"/>
      <color rgb="FFFF0000"/>
      <name val="Comic Sans MS"/>
      <family val="4"/>
    </font>
    <font>
      <b/>
      <sz val="16"/>
      <color rgb="FFFF0000"/>
      <name val="Comic Sans MS"/>
      <family val="4"/>
    </font>
    <font>
      <b/>
      <sz val="16"/>
      <color theme="0"/>
      <name val="Comic Sans MS"/>
      <family val="4"/>
    </font>
    <font>
      <sz val="16"/>
      <color rgb="FFFF0000"/>
      <name val="Comic Sans MS"/>
      <family val="4"/>
    </font>
    <font>
      <sz val="10"/>
      <color rgb="FFFF0000"/>
      <name val="Comic Sans MS"/>
      <family val="4"/>
    </font>
    <font>
      <sz val="12"/>
      <color rgb="FFFF0000"/>
      <name val="Comic Sans MS"/>
      <family val="4"/>
    </font>
    <font>
      <sz val="12"/>
      <color rgb="FFFF0000"/>
      <name val="Arial"/>
      <family val="2"/>
    </font>
    <font>
      <sz val="12"/>
      <color theme="1"/>
      <name val="Century Gothic"/>
      <family val="2"/>
    </font>
    <font>
      <b/>
      <sz val="24"/>
      <color rgb="FFFF0000"/>
      <name val="Comic Sans MS"/>
      <family val="4"/>
    </font>
    <font>
      <b/>
      <sz val="12"/>
      <color rgb="FFFF0000"/>
      <name val="Comic Sans MS"/>
      <family val="4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1" fillId="0" borderId="0"/>
    <xf numFmtId="0" fontId="51" fillId="0" borderId="0"/>
    <xf numFmtId="0" fontId="1" fillId="0" borderId="0"/>
    <xf numFmtId="0" fontId="22" fillId="0" borderId="0"/>
    <xf numFmtId="0" fontId="22" fillId="0" borderId="0"/>
    <xf numFmtId="0" fontId="3" fillId="0" borderId="0"/>
    <xf numFmtId="0" fontId="2" fillId="0" borderId="0"/>
  </cellStyleXfs>
  <cellXfs count="344">
    <xf numFmtId="0" fontId="0" fillId="0" borderId="0" xfId="0"/>
    <xf numFmtId="0" fontId="4" fillId="0" borderId="0" xfId="0" applyFont="1" applyFill="1" applyAlignment="1">
      <alignment vertical="center" wrapText="1"/>
    </xf>
    <xf numFmtId="0" fontId="52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52" fillId="0" borderId="0" xfId="0" applyFont="1" applyFill="1" applyAlignment="1">
      <alignment horizontal="center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7" fillId="0" borderId="0" xfId="7" applyFont="1" applyFill="1" applyAlignment="1">
      <alignment horizontal="center" vertical="center"/>
    </xf>
    <xf numFmtId="0" fontId="7" fillId="0" borderId="0" xfId="7" applyFont="1" applyFill="1" applyAlignment="1">
      <alignment vertical="center"/>
    </xf>
    <xf numFmtId="0" fontId="53" fillId="0" borderId="0" xfId="0" applyFont="1" applyFill="1" applyAlignment="1">
      <alignment vertical="center" shrinkToFit="1"/>
    </xf>
    <xf numFmtId="0" fontId="7" fillId="0" borderId="0" xfId="7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0" borderId="0" xfId="7" applyFont="1" applyFill="1" applyAlignment="1">
      <alignment horizontal="center" vertical="center" shrinkToFit="1"/>
    </xf>
    <xf numFmtId="0" fontId="8" fillId="0" borderId="0" xfId="7" applyFont="1" applyFill="1" applyAlignment="1">
      <alignment horizontal="center" vertical="center"/>
    </xf>
    <xf numFmtId="184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53" fillId="0" borderId="0" xfId="7" applyFont="1" applyFill="1" applyAlignment="1">
      <alignment horizontal="center" vertical="center" shrinkToFit="1"/>
    </xf>
    <xf numFmtId="0" fontId="53" fillId="0" borderId="0" xfId="7" applyFont="1" applyFill="1" applyAlignment="1">
      <alignment vertical="center" shrinkToFit="1"/>
    </xf>
    <xf numFmtId="185" fontId="7" fillId="0" borderId="0" xfId="7" applyNumberFormat="1" applyFont="1" applyFill="1" applyAlignment="1">
      <alignment horizontal="center" vertical="center" shrinkToFit="1"/>
    </xf>
    <xf numFmtId="184" fontId="7" fillId="0" borderId="0" xfId="7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9" fillId="0" borderId="0" xfId="7" applyFont="1" applyFill="1" applyAlignment="1">
      <alignment vertical="center"/>
    </xf>
    <xf numFmtId="0" fontId="54" fillId="0" borderId="0" xfId="7" applyFont="1" applyFill="1" applyAlignment="1">
      <alignment vertical="center" shrinkToFit="1"/>
    </xf>
    <xf numFmtId="0" fontId="9" fillId="0" borderId="0" xfId="7" applyFont="1" applyFill="1" applyAlignment="1">
      <alignment horizontal="center" vertical="center" shrinkToFit="1"/>
    </xf>
    <xf numFmtId="0" fontId="54" fillId="0" borderId="0" xfId="7" applyFont="1" applyFill="1" applyAlignment="1">
      <alignment horizontal="center" vertical="center" shrinkToFit="1"/>
    </xf>
    <xf numFmtId="0" fontId="10" fillId="0" borderId="0" xfId="7" applyFont="1" applyFill="1" applyAlignment="1">
      <alignment horizontal="center" vertical="center"/>
    </xf>
    <xf numFmtId="0" fontId="9" fillId="0" borderId="0" xfId="7" applyFont="1" applyFill="1" applyAlignment="1">
      <alignment horizontal="center" vertical="center"/>
    </xf>
    <xf numFmtId="184" fontId="9" fillId="0" borderId="0" xfId="7" applyNumberFormat="1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9" fillId="0" borderId="0" xfId="7" applyFont="1" applyFill="1" applyAlignment="1">
      <alignment vertical="center" wrapText="1"/>
    </xf>
    <xf numFmtId="0" fontId="11" fillId="0" borderId="0" xfId="7" applyFont="1" applyFill="1" applyAlignment="1">
      <alignment horizontal="center" vertical="center"/>
    </xf>
    <xf numFmtId="0" fontId="11" fillId="0" borderId="0" xfId="7" applyFont="1" applyFill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/>
    <xf numFmtId="0" fontId="12" fillId="0" borderId="1" xfId="0" quotePrefix="1" applyNumberFormat="1" applyFont="1" applyFill="1" applyBorder="1" applyAlignment="1">
      <alignment horizontal="center" vertical="center" wrapText="1"/>
    </xf>
    <xf numFmtId="186" fontId="12" fillId="0" borderId="2" xfId="0" applyNumberFormat="1" applyFont="1" applyFill="1" applyBorder="1" applyAlignment="1">
      <alignment horizontal="center" vertical="center" wrapText="1"/>
    </xf>
    <xf numFmtId="186" fontId="12" fillId="0" borderId="2" xfId="0" quotePrefix="1" applyNumberFormat="1" applyFont="1" applyFill="1" applyBorder="1" applyAlignment="1">
      <alignment vertical="center" wrapText="1"/>
    </xf>
    <xf numFmtId="0" fontId="12" fillId="0" borderId="2" xfId="0" applyNumberFormat="1" applyFont="1" applyFill="1" applyBorder="1" applyAlignment="1">
      <alignment vertical="center" wrapText="1"/>
    </xf>
    <xf numFmtId="0" fontId="55" fillId="0" borderId="2" xfId="0" quotePrefix="1" applyNumberFormat="1" applyFont="1" applyFill="1" applyBorder="1" applyAlignment="1">
      <alignment vertical="center" wrapText="1"/>
    </xf>
    <xf numFmtId="0" fontId="12" fillId="0" borderId="2" xfId="0" quotePrefix="1" applyNumberFormat="1" applyFont="1" applyFill="1" applyBorder="1" applyAlignment="1">
      <alignment horizontal="center" vertical="center" wrapText="1"/>
    </xf>
    <xf numFmtId="0" fontId="55" fillId="0" borderId="2" xfId="0" quotePrefix="1" applyNumberFormat="1" applyFont="1" applyFill="1" applyBorder="1" applyAlignment="1">
      <alignment horizontal="center" vertical="center" wrapText="1"/>
    </xf>
    <xf numFmtId="0" fontId="55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56" fillId="0" borderId="2" xfId="0" applyFont="1" applyFill="1" applyBorder="1" applyAlignment="1">
      <alignment horizontal="center" vertical="center" wrapText="1"/>
    </xf>
    <xf numFmtId="187" fontId="12" fillId="0" borderId="2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vertical="center" wrapText="1"/>
    </xf>
    <xf numFmtId="0" fontId="13" fillId="0" borderId="0" xfId="0" applyFont="1" applyFill="1" applyBorder="1"/>
    <xf numFmtId="186" fontId="13" fillId="0" borderId="2" xfId="0" applyNumberFormat="1" applyFont="1" applyFill="1" applyBorder="1" applyAlignment="1">
      <alignment horizontal="center" vertical="center" wrapText="1"/>
    </xf>
    <xf numFmtId="186" fontId="13" fillId="0" borderId="2" xfId="0" quotePrefix="1" applyNumberFormat="1" applyFont="1" applyFill="1" applyBorder="1" applyAlignment="1">
      <alignment vertical="center" wrapText="1"/>
    </xf>
    <xf numFmtId="0" fontId="13" fillId="0" borderId="2" xfId="0" applyNumberFormat="1" applyFont="1" applyFill="1" applyBorder="1" applyAlignment="1">
      <alignment vertical="center" wrapText="1"/>
    </xf>
    <xf numFmtId="0" fontId="57" fillId="0" borderId="2" xfId="0" quotePrefix="1" applyNumberFormat="1" applyFont="1" applyFill="1" applyBorder="1" applyAlignment="1">
      <alignment vertical="center" wrapText="1"/>
    </xf>
    <xf numFmtId="0" fontId="13" fillId="0" borderId="2" xfId="0" quotePrefix="1" applyNumberFormat="1" applyFont="1" applyFill="1" applyBorder="1" applyAlignment="1">
      <alignment horizontal="center" vertical="center" wrapText="1"/>
    </xf>
    <xf numFmtId="0" fontId="57" fillId="0" borderId="2" xfId="0" quotePrefix="1" applyNumberFormat="1" applyFont="1" applyFill="1" applyBorder="1" applyAlignment="1">
      <alignment horizontal="center" vertical="center" wrapText="1"/>
    </xf>
    <xf numFmtId="3" fontId="13" fillId="0" borderId="2" xfId="0" quotePrefix="1" applyNumberFormat="1" applyFont="1" applyFill="1" applyBorder="1" applyAlignment="1">
      <alignment horizontal="center" vertical="center" wrapText="1"/>
    </xf>
    <xf numFmtId="0" fontId="57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187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vertical="center" wrapText="1"/>
    </xf>
    <xf numFmtId="0" fontId="13" fillId="0" borderId="3" xfId="0" applyFont="1" applyFill="1" applyBorder="1" applyAlignment="1">
      <alignment vertical="center" wrapText="1"/>
    </xf>
    <xf numFmtId="0" fontId="13" fillId="0" borderId="0" xfId="0" quotePrefix="1" applyNumberFormat="1" applyFont="1" applyFill="1" applyBorder="1" applyAlignment="1">
      <alignment horizontal="center" vertical="center" wrapText="1"/>
    </xf>
    <xf numFmtId="186" fontId="13" fillId="0" borderId="0" xfId="0" applyNumberFormat="1" applyFont="1" applyFill="1" applyBorder="1" applyAlignment="1">
      <alignment horizontal="center" vertical="center" wrapText="1"/>
    </xf>
    <xf numFmtId="186" fontId="13" fillId="0" borderId="0" xfId="0" quotePrefix="1" applyNumberFormat="1" applyFont="1" applyFill="1" applyBorder="1" applyAlignment="1">
      <alignment vertical="center" wrapText="1"/>
    </xf>
    <xf numFmtId="186" fontId="13" fillId="0" borderId="0" xfId="0" applyNumberFormat="1" applyFont="1" applyFill="1" applyBorder="1" applyAlignment="1">
      <alignment vertical="center" wrapText="1"/>
    </xf>
    <xf numFmtId="0" fontId="57" fillId="0" borderId="0" xfId="0" quotePrefix="1" applyNumberFormat="1" applyFont="1" applyFill="1" applyBorder="1" applyAlignment="1">
      <alignment vertical="center" wrapText="1"/>
    </xf>
    <xf numFmtId="0" fontId="57" fillId="0" borderId="0" xfId="0" quotePrefix="1" applyNumberFormat="1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187" fontId="13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8" fillId="0" borderId="0" xfId="0" applyFont="1" applyFill="1" applyAlignment="1">
      <alignment vertical="center"/>
    </xf>
    <xf numFmtId="0" fontId="58" fillId="0" borderId="0" xfId="0" applyFont="1" applyFill="1" applyAlignment="1">
      <alignment horizontal="center" vertical="center"/>
    </xf>
    <xf numFmtId="0" fontId="15" fillId="0" borderId="0" xfId="0" applyFont="1" applyFill="1" applyBorder="1"/>
    <xf numFmtId="0" fontId="15" fillId="0" borderId="0" xfId="0" applyFont="1" applyFill="1"/>
    <xf numFmtId="0" fontId="16" fillId="0" borderId="0" xfId="0" applyFont="1"/>
    <xf numFmtId="0" fontId="17" fillId="0" borderId="0" xfId="0" applyFont="1" applyAlignment="1">
      <alignment horizontal="left" vertical="center" wrapText="1"/>
    </xf>
    <xf numFmtId="0" fontId="16" fillId="0" borderId="0" xfId="0" quotePrefix="1" applyNumberFormat="1" applyFont="1"/>
    <xf numFmtId="0" fontId="16" fillId="0" borderId="0" xfId="6" applyFont="1" applyFill="1" applyAlignment="1">
      <alignment horizontal="center"/>
    </xf>
    <xf numFmtId="0" fontId="17" fillId="0" borderId="0" xfId="0" applyFont="1"/>
    <xf numFmtId="0" fontId="17" fillId="0" borderId="0" xfId="7" applyFont="1" applyFill="1" applyAlignment="1">
      <alignment horizontal="center" vertical="center" wrapText="1"/>
    </xf>
    <xf numFmtId="0" fontId="17" fillId="0" borderId="0" xfId="7" applyFont="1" applyFill="1" applyAlignment="1">
      <alignment horizontal="left" vertical="center" wrapText="1"/>
    </xf>
    <xf numFmtId="0" fontId="17" fillId="0" borderId="0" xfId="7" applyFont="1" applyFill="1" applyAlignment="1">
      <alignment horizontal="left" vertical="center"/>
    </xf>
    <xf numFmtId="0" fontId="17" fillId="0" borderId="0" xfId="7" applyFont="1" applyFill="1" applyAlignment="1">
      <alignment horizontal="center" vertical="center"/>
    </xf>
    <xf numFmtId="0" fontId="17" fillId="0" borderId="0" xfId="6" applyFont="1" applyFill="1" applyAlignment="1">
      <alignment horizontal="center" vertical="center"/>
    </xf>
    <xf numFmtId="0" fontId="17" fillId="0" borderId="0" xfId="6" applyFont="1" applyFill="1" applyAlignment="1">
      <alignment vertical="center"/>
    </xf>
    <xf numFmtId="0" fontId="17" fillId="0" borderId="0" xfId="0" quotePrefix="1" applyNumberFormat="1" applyFont="1" applyAlignment="1">
      <alignment vertical="center"/>
    </xf>
    <xf numFmtId="0" fontId="17" fillId="0" borderId="0" xfId="7" applyFont="1" applyFill="1" applyAlignment="1">
      <alignment vertical="center" shrinkToFit="1"/>
    </xf>
    <xf numFmtId="0" fontId="17" fillId="0" borderId="0" xfId="7" applyFont="1" applyFill="1" applyAlignment="1">
      <alignment horizontal="center" vertical="center" shrinkToFit="1"/>
    </xf>
    <xf numFmtId="0" fontId="18" fillId="0" borderId="0" xfId="7" applyFont="1" applyFill="1" applyAlignment="1">
      <alignment horizontal="left" vertical="center" wrapText="1"/>
    </xf>
    <xf numFmtId="188" fontId="17" fillId="0" borderId="0" xfId="7" applyNumberFormat="1" applyFont="1" applyFill="1" applyAlignment="1">
      <alignment horizontal="left" vertical="center"/>
    </xf>
    <xf numFmtId="0" fontId="19" fillId="0" borderId="0" xfId="7" applyFont="1" applyFill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6" fillId="0" borderId="0" xfId="7" applyFont="1" applyFill="1" applyAlignment="1">
      <alignment horizontal="center" vertical="center" wrapText="1"/>
    </xf>
    <xf numFmtId="0" fontId="16" fillId="0" borderId="0" xfId="6" applyFont="1" applyFill="1" applyAlignment="1">
      <alignment horizontal="center" vertical="center" wrapText="1"/>
    </xf>
    <xf numFmtId="0" fontId="16" fillId="0" borderId="0" xfId="6" applyFont="1" applyFill="1" applyAlignment="1">
      <alignment vertical="center" wrapText="1"/>
    </xf>
    <xf numFmtId="0" fontId="16" fillId="0" borderId="0" xfId="0" quotePrefix="1" applyNumberFormat="1" applyFont="1" applyAlignment="1">
      <alignment vertical="center" wrapText="1"/>
    </xf>
    <xf numFmtId="0" fontId="16" fillId="0" borderId="0" xfId="0" applyFont="1" applyFill="1"/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87" fontId="16" fillId="0" borderId="0" xfId="0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  <xf numFmtId="0" fontId="16" fillId="0" borderId="0" xfId="0" applyFont="1" applyFill="1" applyAlignment="1">
      <alignment horizontal="center" vertical="center" wrapText="1"/>
    </xf>
    <xf numFmtId="0" fontId="59" fillId="0" borderId="0" xfId="0" applyFont="1" applyFill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/>
    </xf>
    <xf numFmtId="0" fontId="12" fillId="0" borderId="4" xfId="7" applyFont="1" applyFill="1" applyBorder="1" applyAlignment="1">
      <alignment horizontal="center" vertical="center" shrinkToFit="1"/>
    </xf>
    <xf numFmtId="0" fontId="17" fillId="0" borderId="0" xfId="0" applyFont="1" applyAlignment="1">
      <alignment horizontal="right" vertical="center" wrapText="1"/>
    </xf>
    <xf numFmtId="0" fontId="16" fillId="0" borderId="0" xfId="0" applyFont="1" applyFill="1" applyAlignment="1">
      <alignment horizontal="right" vertical="center" wrapText="1"/>
    </xf>
    <xf numFmtId="0" fontId="1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58" fillId="0" borderId="0" xfId="0" applyFont="1" applyFill="1" applyBorder="1" applyAlignment="1">
      <alignment vertical="center"/>
    </xf>
    <xf numFmtId="0" fontId="12" fillId="0" borderId="5" xfId="7" applyFont="1" applyFill="1" applyBorder="1" applyAlignment="1">
      <alignment horizontal="center" vertical="center" shrinkToFi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57" fillId="0" borderId="0" xfId="0" applyFont="1" applyFill="1" applyAlignment="1">
      <alignment horizontal="center" vertical="center" wrapText="1"/>
    </xf>
    <xf numFmtId="186" fontId="13" fillId="0" borderId="2" xfId="0" quotePrefix="1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left" vertical="center" wrapText="1"/>
    </xf>
    <xf numFmtId="187" fontId="13" fillId="0" borderId="3" xfId="0" applyNumberFormat="1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7" applyFont="1" applyFill="1" applyAlignment="1">
      <alignment horizontal="left" vertical="center"/>
    </xf>
    <xf numFmtId="0" fontId="9" fillId="0" borderId="0" xfId="0" applyFont="1" applyFill="1"/>
    <xf numFmtId="196" fontId="7" fillId="0" borderId="0" xfId="7" applyNumberFormat="1" applyFont="1" applyFill="1" applyAlignment="1">
      <alignment vertical="center"/>
    </xf>
    <xf numFmtId="196" fontId="17" fillId="0" borderId="0" xfId="7" applyNumberFormat="1" applyFont="1" applyFill="1" applyAlignment="1">
      <alignment vertical="center"/>
    </xf>
    <xf numFmtId="0" fontId="17" fillId="0" borderId="6" xfId="6" applyFont="1" applyFill="1" applyBorder="1" applyAlignment="1">
      <alignment horizontal="center" vertical="center" wrapText="1"/>
    </xf>
    <xf numFmtId="0" fontId="17" fillId="0" borderId="6" xfId="6" applyNumberFormat="1" applyFont="1" applyFill="1" applyBorder="1" applyAlignment="1">
      <alignment horizontal="center" vertical="center" wrapText="1"/>
    </xf>
    <xf numFmtId="0" fontId="17" fillId="0" borderId="7" xfId="6" applyFont="1" applyFill="1" applyBorder="1" applyAlignment="1">
      <alignment horizontal="center" vertical="center" wrapText="1"/>
    </xf>
    <xf numFmtId="0" fontId="17" fillId="0" borderId="8" xfId="0" applyNumberFormat="1" applyFont="1" applyBorder="1" applyAlignment="1">
      <alignment horizontal="center" vertical="center"/>
    </xf>
    <xf numFmtId="0" fontId="12" fillId="0" borderId="9" xfId="0" quotePrefix="1" applyNumberFormat="1" applyFont="1" applyFill="1" applyBorder="1" applyAlignment="1">
      <alignment horizontal="center" vertical="center" wrapText="1"/>
    </xf>
    <xf numFmtId="186" fontId="12" fillId="0" borderId="10" xfId="0" applyNumberFormat="1" applyFont="1" applyFill="1" applyBorder="1" applyAlignment="1">
      <alignment horizontal="center" vertical="center" wrapText="1"/>
    </xf>
    <xf numFmtId="186" fontId="12" fillId="0" borderId="10" xfId="0" quotePrefix="1" applyNumberFormat="1" applyFont="1" applyFill="1" applyBorder="1" applyAlignment="1">
      <alignment vertical="center" wrapText="1"/>
    </xf>
    <xf numFmtId="0" fontId="12" fillId="0" borderId="10" xfId="0" applyNumberFormat="1" applyFont="1" applyFill="1" applyBorder="1" applyAlignment="1">
      <alignment vertical="center" wrapText="1"/>
    </xf>
    <xf numFmtId="0" fontId="55" fillId="0" borderId="10" xfId="0" quotePrefix="1" applyNumberFormat="1" applyFont="1" applyFill="1" applyBorder="1" applyAlignment="1">
      <alignment vertical="center" wrapText="1"/>
    </xf>
    <xf numFmtId="0" fontId="12" fillId="0" borderId="10" xfId="0" quotePrefix="1" applyNumberFormat="1" applyFont="1" applyFill="1" applyBorder="1" applyAlignment="1">
      <alignment horizontal="center" vertical="center" wrapText="1"/>
    </xf>
    <xf numFmtId="0" fontId="55" fillId="0" borderId="10" xfId="0" quotePrefix="1" applyNumberFormat="1" applyFont="1" applyFill="1" applyBorder="1" applyAlignment="1">
      <alignment horizontal="center" vertical="center" wrapText="1"/>
    </xf>
    <xf numFmtId="0" fontId="55" fillId="0" borderId="10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56" fillId="0" borderId="10" xfId="0" applyFont="1" applyFill="1" applyBorder="1" applyAlignment="1">
      <alignment horizontal="center" vertical="center" wrapText="1"/>
    </xf>
    <xf numFmtId="187" fontId="12" fillId="0" borderId="10" xfId="0" applyNumberFormat="1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11" xfId="0" applyFont="1" applyFill="1" applyBorder="1" applyAlignment="1">
      <alignment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" fontId="25" fillId="0" borderId="5" xfId="4" applyNumberFormat="1" applyFont="1" applyFill="1" applyBorder="1" applyAlignment="1">
      <alignment horizontal="left" vertical="center" wrapText="1"/>
    </xf>
    <xf numFmtId="1" fontId="25" fillId="0" borderId="5" xfId="4" applyNumberFormat="1" applyFont="1" applyFill="1" applyBorder="1" applyAlignment="1">
      <alignment horizontal="center" vertical="center" wrapText="1"/>
    </xf>
    <xf numFmtId="1" fontId="25" fillId="0" borderId="4" xfId="4" applyNumberFormat="1" applyFont="1" applyFill="1" applyBorder="1" applyAlignment="1">
      <alignment horizontal="center" vertical="center" wrapText="1"/>
    </xf>
    <xf numFmtId="0" fontId="1" fillId="0" borderId="0" xfId="3"/>
    <xf numFmtId="0" fontId="1" fillId="0" borderId="0" xfId="3" applyBorder="1"/>
    <xf numFmtId="0" fontId="1" fillId="2" borderId="0" xfId="3" applyFill="1" applyBorder="1"/>
    <xf numFmtId="0" fontId="28" fillId="0" borderId="0" xfId="3" applyFont="1"/>
    <xf numFmtId="0" fontId="29" fillId="0" borderId="0" xfId="3" applyFont="1"/>
    <xf numFmtId="0" fontId="1" fillId="0" borderId="0" xfId="3" applyFill="1"/>
    <xf numFmtId="0" fontId="1" fillId="0" borderId="0" xfId="3" applyFill="1" applyBorder="1"/>
    <xf numFmtId="0" fontId="28" fillId="0" borderId="0" xfId="3" applyFont="1" applyFill="1"/>
    <xf numFmtId="0" fontId="29" fillId="0" borderId="0" xfId="3" applyFont="1" applyFill="1"/>
    <xf numFmtId="0" fontId="30" fillId="0" borderId="0" xfId="3" applyFont="1" applyFill="1"/>
    <xf numFmtId="187" fontId="31" fillId="0" borderId="0" xfId="3" applyNumberFormat="1" applyFont="1" applyFill="1" applyAlignment="1">
      <alignment horizontal="center"/>
    </xf>
    <xf numFmtId="0" fontId="32" fillId="0" borderId="0" xfId="3" applyFont="1" applyFill="1"/>
    <xf numFmtId="0" fontId="31" fillId="0" borderId="0" xfId="3" applyFont="1" applyFill="1"/>
    <xf numFmtId="0" fontId="31" fillId="0" borderId="0" xfId="3" applyFont="1" applyFill="1" applyBorder="1"/>
    <xf numFmtId="0" fontId="33" fillId="0" borderId="0" xfId="3" applyFont="1" applyFill="1"/>
    <xf numFmtId="0" fontId="26" fillId="0" borderId="0" xfId="3" applyFont="1"/>
    <xf numFmtId="0" fontId="6" fillId="0" borderId="0" xfId="3" applyFont="1" applyBorder="1"/>
    <xf numFmtId="0" fontId="13" fillId="0" borderId="0" xfId="5" applyFont="1" applyBorder="1"/>
    <xf numFmtId="0" fontId="13" fillId="0" borderId="0" xfId="5" applyFont="1" applyFill="1" applyBorder="1"/>
    <xf numFmtId="0" fontId="6" fillId="0" borderId="0" xfId="3" applyFont="1" applyFill="1" applyBorder="1"/>
    <xf numFmtId="185" fontId="34" fillId="0" borderId="0" xfId="7" applyNumberFormat="1" applyFont="1" applyFill="1" applyBorder="1" applyAlignment="1">
      <alignment horizontal="left" vertical="center" wrapText="1"/>
    </xf>
    <xf numFmtId="0" fontId="35" fillId="0" borderId="0" xfId="7" applyFont="1" applyFill="1" applyAlignment="1">
      <alignment horizontal="left" vertical="center" wrapText="1"/>
    </xf>
    <xf numFmtId="0" fontId="27" fillId="0" borderId="0" xfId="7" applyFont="1" applyFill="1" applyAlignment="1">
      <alignment horizontal="left" vertical="center" wrapText="1"/>
    </xf>
    <xf numFmtId="0" fontId="35" fillId="0" borderId="0" xfId="3" applyFont="1"/>
    <xf numFmtId="185" fontId="36" fillId="0" borderId="0" xfId="7" applyNumberFormat="1" applyFont="1" applyFill="1" applyBorder="1" applyAlignment="1">
      <alignment vertical="center" wrapText="1"/>
    </xf>
    <xf numFmtId="185" fontId="35" fillId="0" borderId="0" xfId="7" applyNumberFormat="1" applyFont="1" applyFill="1" applyBorder="1" applyAlignment="1">
      <alignment vertical="center" wrapText="1"/>
    </xf>
    <xf numFmtId="185" fontId="37" fillId="0" borderId="0" xfId="7" applyNumberFormat="1" applyFont="1" applyFill="1" applyBorder="1" applyAlignment="1">
      <alignment vertical="center" wrapText="1"/>
    </xf>
    <xf numFmtId="185" fontId="38" fillId="0" borderId="0" xfId="7" applyNumberFormat="1" applyFont="1" applyFill="1" applyBorder="1" applyAlignment="1">
      <alignment vertical="center"/>
    </xf>
    <xf numFmtId="0" fontId="38" fillId="0" borderId="0" xfId="7" applyFont="1" applyFill="1" applyAlignment="1">
      <alignment vertical="center"/>
    </xf>
    <xf numFmtId="185" fontId="38" fillId="0" borderId="0" xfId="7" applyNumberFormat="1" applyFont="1" applyFill="1" applyAlignment="1">
      <alignment horizontal="left" vertical="center"/>
    </xf>
    <xf numFmtId="0" fontId="38" fillId="0" borderId="0" xfId="7" applyFont="1" applyFill="1" applyAlignment="1">
      <alignment vertical="center" wrapText="1"/>
    </xf>
    <xf numFmtId="0" fontId="36" fillId="0" borderId="0" xfId="7" applyFont="1" applyFill="1" applyAlignment="1">
      <alignment vertical="center"/>
    </xf>
    <xf numFmtId="0" fontId="35" fillId="0" borderId="0" xfId="7" applyFont="1" applyFill="1" applyAlignment="1">
      <alignment vertical="center"/>
    </xf>
    <xf numFmtId="0" fontId="39" fillId="0" borderId="0" xfId="7" applyFont="1" applyFill="1" applyAlignment="1">
      <alignment vertical="center"/>
    </xf>
    <xf numFmtId="0" fontId="25" fillId="0" borderId="0" xfId="7" applyFont="1" applyFill="1" applyAlignment="1">
      <alignment vertical="center"/>
    </xf>
    <xf numFmtId="0" fontId="40" fillId="0" borderId="0" xfId="3" applyFont="1"/>
    <xf numFmtId="0" fontId="41" fillId="0" borderId="0" xfId="7" applyFont="1" applyFill="1" applyAlignment="1"/>
    <xf numFmtId="0" fontId="42" fillId="0" borderId="0" xfId="7" applyFont="1" applyFill="1" applyAlignment="1"/>
    <xf numFmtId="0" fontId="44" fillId="0" borderId="0" xfId="7" applyFont="1" applyFill="1" applyAlignment="1"/>
    <xf numFmtId="0" fontId="45" fillId="0" borderId="0" xfId="7" applyFont="1" applyFill="1" applyAlignment="1"/>
    <xf numFmtId="14" fontId="13" fillId="0" borderId="0" xfId="0" applyNumberFormat="1" applyFont="1" applyFill="1" applyBorder="1"/>
    <xf numFmtId="0" fontId="23" fillId="0" borderId="12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23" fillId="0" borderId="14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 wrapText="1"/>
    </xf>
    <xf numFmtId="0" fontId="24" fillId="3" borderId="16" xfId="0" applyFont="1" applyFill="1" applyBorder="1" applyAlignment="1">
      <alignment horizontal="center" vertical="center" wrapText="1"/>
    </xf>
    <xf numFmtId="0" fontId="47" fillId="3" borderId="17" xfId="0" applyFont="1" applyFill="1" applyBorder="1" applyAlignment="1">
      <alignment horizontal="center" vertical="center" wrapText="1"/>
    </xf>
    <xf numFmtId="0" fontId="24" fillId="3" borderId="18" xfId="0" applyFont="1" applyFill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 vertical="center" wrapText="1"/>
    </xf>
    <xf numFmtId="0" fontId="24" fillId="3" borderId="20" xfId="0" applyFont="1" applyFill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13" xfId="0" applyFont="1" applyFill="1" applyBorder="1" applyAlignment="1">
      <alignment horizontal="center" vertical="center" wrapText="1"/>
    </xf>
    <xf numFmtId="0" fontId="25" fillId="0" borderId="23" xfId="0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vertical="center"/>
    </xf>
    <xf numFmtId="1" fontId="25" fillId="0" borderId="10" xfId="4" applyNumberFormat="1" applyFont="1" applyFill="1" applyBorder="1" applyAlignment="1">
      <alignment horizontal="center" vertical="center" wrapText="1"/>
    </xf>
    <xf numFmtId="0" fontId="60" fillId="0" borderId="5" xfId="0" applyNumberFormat="1" applyFont="1" applyFill="1" applyBorder="1" applyAlignment="1">
      <alignment horizontal="center" vertical="center" wrapText="1"/>
    </xf>
    <xf numFmtId="1" fontId="25" fillId="0" borderId="10" xfId="4" applyNumberFormat="1" applyFont="1" applyFill="1" applyBorder="1" applyAlignment="1">
      <alignment horizontal="left" vertical="center" wrapText="1"/>
    </xf>
    <xf numFmtId="0" fontId="1" fillId="0" borderId="0" xfId="0" applyFont="1"/>
    <xf numFmtId="0" fontId="2" fillId="0" borderId="0" xfId="7"/>
    <xf numFmtId="0" fontId="25" fillId="0" borderId="1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vertical="center"/>
    </xf>
    <xf numFmtId="0" fontId="60" fillId="0" borderId="2" xfId="0" applyFont="1" applyBorder="1" applyAlignment="1">
      <alignment horizontal="center" vertical="center"/>
    </xf>
    <xf numFmtId="187" fontId="25" fillId="0" borderId="2" xfId="0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/>
    </xf>
    <xf numFmtId="1" fontId="25" fillId="0" borderId="2" xfId="4" applyNumberFormat="1" applyFont="1" applyFill="1" applyBorder="1" applyAlignment="1">
      <alignment horizontal="center" vertical="center" wrapText="1"/>
    </xf>
    <xf numFmtId="1" fontId="25" fillId="0" borderId="24" xfId="4" applyNumberFormat="1" applyFont="1" applyFill="1" applyBorder="1" applyAlignment="1">
      <alignment horizontal="center" vertical="center" wrapText="1"/>
    </xf>
    <xf numFmtId="0" fontId="60" fillId="0" borderId="2" xfId="0" applyNumberFormat="1" applyFont="1" applyFill="1" applyBorder="1" applyAlignment="1">
      <alignment horizontal="center" vertical="center" wrapText="1"/>
    </xf>
    <xf numFmtId="187" fontId="25" fillId="0" borderId="10" xfId="0" applyNumberFormat="1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 wrapText="1"/>
    </xf>
    <xf numFmtId="0" fontId="25" fillId="0" borderId="2" xfId="0" applyNumberFormat="1" applyFont="1" applyFill="1" applyBorder="1" applyAlignment="1">
      <alignment horizontal="center" vertical="center" wrapText="1"/>
    </xf>
    <xf numFmtId="2" fontId="25" fillId="0" borderId="10" xfId="0" applyNumberFormat="1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1" fillId="0" borderId="0" xfId="0" applyFont="1" applyFill="1"/>
    <xf numFmtId="2" fontId="1" fillId="0" borderId="0" xfId="0" applyNumberFormat="1" applyFont="1"/>
    <xf numFmtId="187" fontId="25" fillId="0" borderId="16" xfId="0" applyNumberFormat="1" applyFont="1" applyFill="1" applyBorder="1" applyAlignment="1">
      <alignment horizontal="center" vertical="center"/>
    </xf>
    <xf numFmtId="0" fontId="25" fillId="0" borderId="16" xfId="0" applyFont="1" applyFill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/>
    </xf>
    <xf numFmtId="0" fontId="25" fillId="0" borderId="26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left" vertical="center"/>
    </xf>
    <xf numFmtId="1" fontId="25" fillId="0" borderId="27" xfId="4" applyNumberFormat="1" applyFont="1" applyFill="1" applyBorder="1" applyAlignment="1">
      <alignment horizontal="center" vertical="center" wrapText="1"/>
    </xf>
    <xf numFmtId="0" fontId="25" fillId="0" borderId="4" xfId="0" applyNumberFormat="1" applyFont="1" applyFill="1" applyBorder="1" applyAlignment="1">
      <alignment horizontal="center" vertical="center" wrapText="1"/>
    </xf>
    <xf numFmtId="0" fontId="25" fillId="0" borderId="28" xfId="0" applyFont="1" applyFill="1" applyBorder="1" applyAlignment="1">
      <alignment horizontal="center" vertical="center"/>
    </xf>
    <xf numFmtId="0" fontId="25" fillId="0" borderId="28" xfId="0" applyFont="1" applyFill="1" applyBorder="1" applyAlignment="1">
      <alignment horizontal="center" vertical="center" wrapText="1"/>
    </xf>
    <xf numFmtId="1" fontId="25" fillId="0" borderId="28" xfId="4" applyNumberFormat="1" applyFont="1" applyFill="1" applyBorder="1" applyAlignment="1">
      <alignment horizontal="left" vertical="center" wrapText="1"/>
    </xf>
    <xf numFmtId="0" fontId="25" fillId="0" borderId="29" xfId="0" applyFont="1" applyFill="1" applyBorder="1" applyAlignment="1">
      <alignment horizontal="center" vertical="center"/>
    </xf>
    <xf numFmtId="196" fontId="13" fillId="0" borderId="0" xfId="7" applyNumberFormat="1" applyFont="1" applyFill="1" applyAlignment="1">
      <alignment vertical="center"/>
    </xf>
    <xf numFmtId="196" fontId="9" fillId="0" borderId="0" xfId="7" applyNumberFormat="1" applyFont="1" applyFill="1" applyAlignment="1">
      <alignment vertical="center"/>
    </xf>
    <xf numFmtId="0" fontId="48" fillId="0" borderId="2" xfId="0" applyFont="1" applyFill="1" applyBorder="1" applyAlignment="1">
      <alignment vertical="center"/>
    </xf>
    <xf numFmtId="0" fontId="16" fillId="0" borderId="1" xfId="4" applyNumberFormat="1" applyFont="1" applyFill="1" applyBorder="1" applyAlignment="1">
      <alignment horizontal="center" vertical="center"/>
    </xf>
    <xf numFmtId="0" fontId="16" fillId="0" borderId="2" xfId="4" applyNumberFormat="1" applyFont="1" applyFill="1" applyBorder="1" applyAlignment="1">
      <alignment horizontal="center" vertical="center"/>
    </xf>
    <xf numFmtId="0" fontId="16" fillId="0" borderId="2" xfId="4" applyFont="1" applyFill="1" applyBorder="1" applyAlignment="1">
      <alignment horizontal="center" vertical="center"/>
    </xf>
    <xf numFmtId="0" fontId="16" fillId="0" borderId="2" xfId="4" applyFont="1" applyFill="1" applyBorder="1" applyAlignment="1">
      <alignment horizontal="left" vertical="center" wrapText="1"/>
    </xf>
    <xf numFmtId="0" fontId="21" fillId="0" borderId="30" xfId="0" applyFont="1" applyFill="1" applyBorder="1" applyAlignment="1">
      <alignment horizontal="center"/>
    </xf>
    <xf numFmtId="14" fontId="49" fillId="0" borderId="0" xfId="0" applyNumberFormat="1" applyFont="1" applyFill="1" applyBorder="1"/>
    <xf numFmtId="0" fontId="13" fillId="0" borderId="11" xfId="0" applyFont="1" applyFill="1" applyBorder="1" applyAlignment="1">
      <alignment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1" xfId="0" quotePrefix="1" applyNumberFormat="1" applyFont="1" applyFill="1" applyBorder="1" applyAlignment="1">
      <alignment horizontal="center" vertical="center" wrapText="1"/>
    </xf>
    <xf numFmtId="186" fontId="12" fillId="4" borderId="2" xfId="0" applyNumberFormat="1" applyFont="1" applyFill="1" applyBorder="1" applyAlignment="1">
      <alignment horizontal="center" vertical="center" wrapText="1"/>
    </xf>
    <xf numFmtId="186" fontId="12" fillId="4" borderId="2" xfId="0" quotePrefix="1" applyNumberFormat="1" applyFont="1" applyFill="1" applyBorder="1" applyAlignment="1">
      <alignment vertical="center" wrapText="1"/>
    </xf>
    <xf numFmtId="0" fontId="12" fillId="4" borderId="2" xfId="0" applyNumberFormat="1" applyFont="1" applyFill="1" applyBorder="1" applyAlignment="1">
      <alignment vertical="center" wrapText="1"/>
    </xf>
    <xf numFmtId="0" fontId="55" fillId="4" borderId="2" xfId="0" quotePrefix="1" applyNumberFormat="1" applyFont="1" applyFill="1" applyBorder="1" applyAlignment="1">
      <alignment vertical="center" wrapText="1"/>
    </xf>
    <xf numFmtId="0" fontId="12" fillId="4" borderId="2" xfId="0" quotePrefix="1" applyNumberFormat="1" applyFont="1" applyFill="1" applyBorder="1" applyAlignment="1">
      <alignment horizontal="center" vertical="center" wrapText="1"/>
    </xf>
    <xf numFmtId="0" fontId="55" fillId="4" borderId="2" xfId="0" quotePrefix="1" applyNumberFormat="1" applyFont="1" applyFill="1" applyBorder="1" applyAlignment="1">
      <alignment horizontal="center" vertical="center" wrapText="1"/>
    </xf>
    <xf numFmtId="0" fontId="55" fillId="4" borderId="2" xfId="0" applyFont="1" applyFill="1" applyBorder="1" applyAlignment="1">
      <alignment horizontal="center" vertical="center" wrapText="1"/>
    </xf>
    <xf numFmtId="0" fontId="56" fillId="4" borderId="2" xfId="0" applyFont="1" applyFill="1" applyBorder="1" applyAlignment="1">
      <alignment horizontal="center" vertical="center" wrapText="1"/>
    </xf>
    <xf numFmtId="187" fontId="12" fillId="4" borderId="2" xfId="0" applyNumberFormat="1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vertical="center" wrapText="1"/>
    </xf>
    <xf numFmtId="14" fontId="57" fillId="0" borderId="0" xfId="0" applyNumberFormat="1" applyFont="1" applyFill="1" applyBorder="1"/>
    <xf numFmtId="0" fontId="7" fillId="0" borderId="0" xfId="0" applyFont="1" applyFill="1" applyAlignment="1">
      <alignment horizontal="center" vertical="center" shrinkToFit="1"/>
    </xf>
    <xf numFmtId="0" fontId="13" fillId="0" borderId="2" xfId="0" applyFont="1" applyFill="1" applyBorder="1" applyAlignment="1">
      <alignment horizontal="center" vertical="center"/>
    </xf>
    <xf numFmtId="0" fontId="61" fillId="0" borderId="2" xfId="0" applyFont="1" applyBorder="1" applyAlignment="1">
      <alignment horizontal="left" vertical="center"/>
    </xf>
    <xf numFmtId="0" fontId="61" fillId="0" borderId="2" xfId="0" applyFont="1" applyBorder="1" applyAlignment="1">
      <alignment vertical="center"/>
    </xf>
    <xf numFmtId="0" fontId="50" fillId="0" borderId="2" xfId="0" applyFont="1" applyBorder="1" applyAlignment="1">
      <alignment vertical="center"/>
    </xf>
    <xf numFmtId="0" fontId="16" fillId="0" borderId="30" xfId="0" applyFont="1" applyFill="1" applyBorder="1" applyAlignment="1">
      <alignment horizontal="center"/>
    </xf>
    <xf numFmtId="0" fontId="48" fillId="0" borderId="2" xfId="3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57" fillId="0" borderId="2" xfId="0" quotePrefix="1" applyNumberFormat="1" applyFont="1" applyFill="1" applyBorder="1" applyAlignment="1">
      <alignment horizontal="right" vertical="center" wrapText="1"/>
    </xf>
    <xf numFmtId="187" fontId="13" fillId="0" borderId="11" xfId="0" applyNumberFormat="1" applyFont="1" applyFill="1" applyBorder="1" applyAlignment="1">
      <alignment horizontal="center" vertical="center" wrapText="1"/>
    </xf>
    <xf numFmtId="0" fontId="16" fillId="0" borderId="23" xfId="4" applyNumberFormat="1" applyFont="1" applyFill="1" applyBorder="1" applyAlignment="1">
      <alignment horizontal="center" vertical="center"/>
    </xf>
    <xf numFmtId="0" fontId="48" fillId="0" borderId="5" xfId="0" applyFont="1" applyFill="1" applyBorder="1" applyAlignment="1">
      <alignment vertical="center"/>
    </xf>
    <xf numFmtId="0" fontId="16" fillId="0" borderId="5" xfId="4" applyNumberFormat="1" applyFont="1" applyFill="1" applyBorder="1" applyAlignment="1">
      <alignment horizontal="center" vertical="center"/>
    </xf>
    <xf numFmtId="0" fontId="16" fillId="0" borderId="5" xfId="4" applyFont="1" applyFill="1" applyBorder="1" applyAlignment="1">
      <alignment horizontal="center" vertical="center"/>
    </xf>
    <xf numFmtId="0" fontId="16" fillId="0" borderId="5" xfId="4" applyFont="1" applyFill="1" applyBorder="1" applyAlignment="1">
      <alignment horizontal="left" vertical="center" wrapText="1"/>
    </xf>
    <xf numFmtId="0" fontId="16" fillId="0" borderId="37" xfId="0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"/>
    </xf>
    <xf numFmtId="0" fontId="21" fillId="0" borderId="26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21" fillId="0" borderId="29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left" vertical="center"/>
    </xf>
    <xf numFmtId="0" fontId="12" fillId="0" borderId="5" xfId="7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 wrapText="1"/>
    </xf>
    <xf numFmtId="0" fontId="12" fillId="0" borderId="4" xfId="7" applyFont="1" applyFill="1" applyBorder="1" applyAlignment="1">
      <alignment horizontal="center" vertical="center" shrinkToFit="1"/>
    </xf>
    <xf numFmtId="0" fontId="5" fillId="0" borderId="0" xfId="7" applyFont="1" applyFill="1" applyAlignment="1">
      <alignment horizontal="center" vertical="center"/>
    </xf>
    <xf numFmtId="0" fontId="62" fillId="0" borderId="0" xfId="7" applyFont="1" applyFill="1" applyAlignment="1">
      <alignment horizontal="center" vertical="center"/>
    </xf>
    <xf numFmtId="0" fontId="12" fillId="0" borderId="5" xfId="7" applyFont="1" applyFill="1" applyBorder="1" applyAlignment="1">
      <alignment horizontal="center" vertical="center" wrapText="1"/>
    </xf>
    <xf numFmtId="0" fontId="12" fillId="0" borderId="4" xfId="7" applyFont="1" applyFill="1" applyBorder="1" applyAlignment="1">
      <alignment horizontal="center" vertical="center" wrapText="1"/>
    </xf>
    <xf numFmtId="185" fontId="9" fillId="0" borderId="0" xfId="7" applyNumberFormat="1" applyFont="1" applyFill="1" applyAlignment="1">
      <alignment horizontal="left" vertical="center" shrinkToFit="1"/>
    </xf>
    <xf numFmtId="0" fontId="12" fillId="0" borderId="25" xfId="7" applyFont="1" applyFill="1" applyBorder="1" applyAlignment="1">
      <alignment horizontal="center" vertical="center" wrapText="1"/>
    </xf>
    <xf numFmtId="0" fontId="12" fillId="0" borderId="29" xfId="7" applyFont="1" applyFill="1" applyBorder="1" applyAlignment="1">
      <alignment horizontal="center" vertical="center" wrapText="1"/>
    </xf>
    <xf numFmtId="0" fontId="12" fillId="0" borderId="23" xfId="7" applyFont="1" applyFill="1" applyBorder="1" applyAlignment="1">
      <alignment horizontal="center" vertical="center" wrapText="1"/>
    </xf>
    <xf numFmtId="0" fontId="12" fillId="0" borderId="26" xfId="7" applyFont="1" applyFill="1" applyBorder="1" applyAlignment="1">
      <alignment horizontal="center" vertical="center" wrapText="1"/>
    </xf>
    <xf numFmtId="0" fontId="9" fillId="0" borderId="0" xfId="7" applyFont="1" applyFill="1" applyAlignment="1">
      <alignment horizontal="left" vertical="center" shrinkToFit="1"/>
    </xf>
    <xf numFmtId="0" fontId="20" fillId="0" borderId="5" xfId="7" applyFont="1" applyFill="1" applyBorder="1" applyAlignment="1">
      <alignment horizontal="center" vertical="center" wrapText="1"/>
    </xf>
    <xf numFmtId="0" fontId="20" fillId="0" borderId="4" xfId="7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Alignment="1">
      <alignment horizontal="center" vertical="center" wrapText="1"/>
    </xf>
    <xf numFmtId="0" fontId="55" fillId="5" borderId="18" xfId="0" applyNumberFormat="1" applyFont="1" applyFill="1" applyBorder="1" applyAlignment="1">
      <alignment horizontal="center" vertical="center" wrapText="1"/>
    </xf>
    <xf numFmtId="0" fontId="55" fillId="5" borderId="19" xfId="0" quotePrefix="1" applyNumberFormat="1" applyFont="1" applyFill="1" applyBorder="1" applyAlignment="1">
      <alignment horizontal="center" vertical="center" wrapText="1"/>
    </xf>
    <xf numFmtId="0" fontId="55" fillId="5" borderId="20" xfId="0" quotePrefix="1" applyNumberFormat="1" applyFont="1" applyFill="1" applyBorder="1" applyAlignment="1">
      <alignment horizontal="center" vertical="center" wrapText="1"/>
    </xf>
    <xf numFmtId="184" fontId="12" fillId="0" borderId="5" xfId="7" applyNumberFormat="1" applyFont="1" applyFill="1" applyBorder="1" applyAlignment="1">
      <alignment horizontal="center" vertical="center" wrapText="1"/>
    </xf>
    <xf numFmtId="184" fontId="12" fillId="0" borderId="4" xfId="7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7" fillId="0" borderId="0" xfId="6" applyFont="1" applyFill="1" applyAlignment="1">
      <alignment horizontal="center" vertical="center" wrapText="1"/>
    </xf>
    <xf numFmtId="0" fontId="63" fillId="0" borderId="0" xfId="6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59" fillId="5" borderId="12" xfId="0" applyFont="1" applyFill="1" applyBorder="1" applyAlignment="1">
      <alignment horizontal="center" vertical="center" wrapText="1"/>
    </xf>
    <xf numFmtId="0" fontId="59" fillId="5" borderId="22" xfId="0" applyFont="1" applyFill="1" applyBorder="1" applyAlignment="1">
      <alignment horizontal="center" vertical="center" wrapText="1"/>
    </xf>
    <xf numFmtId="0" fontId="59" fillId="5" borderId="13" xfId="0" applyFont="1" applyFill="1" applyBorder="1" applyAlignment="1">
      <alignment horizontal="center" vertical="center" wrapText="1"/>
    </xf>
    <xf numFmtId="0" fontId="59" fillId="5" borderId="34" xfId="0" applyFont="1" applyFill="1" applyBorder="1" applyAlignment="1">
      <alignment horizontal="center" vertical="center" wrapText="1"/>
    </xf>
    <xf numFmtId="0" fontId="59" fillId="5" borderId="36" xfId="0" applyFont="1" applyFill="1" applyBorder="1" applyAlignment="1">
      <alignment horizontal="center" vertical="center" wrapText="1"/>
    </xf>
    <xf numFmtId="0" fontId="59" fillId="5" borderId="32" xfId="0" applyFont="1" applyFill="1" applyBorder="1" applyAlignment="1">
      <alignment horizontal="center" vertical="center" wrapText="1"/>
    </xf>
    <xf numFmtId="0" fontId="23" fillId="0" borderId="6" xfId="0" applyNumberFormat="1" applyFont="1" applyFill="1" applyBorder="1" applyAlignment="1">
      <alignment horizontal="center" vertical="center" wrapText="1"/>
    </xf>
    <xf numFmtId="0" fontId="23" fillId="0" borderId="35" xfId="0" applyNumberFormat="1" applyFont="1" applyFill="1" applyBorder="1" applyAlignment="1">
      <alignment horizontal="center" vertical="center" wrapText="1"/>
    </xf>
    <xf numFmtId="0" fontId="23" fillId="0" borderId="21" xfId="0" applyFont="1" applyFill="1" applyBorder="1" applyAlignment="1">
      <alignment horizontal="center" vertical="center" wrapText="1"/>
    </xf>
    <xf numFmtId="0" fontId="23" fillId="0" borderId="36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 wrapText="1"/>
    </xf>
    <xf numFmtId="0" fontId="23" fillId="0" borderId="35" xfId="0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4" fillId="5" borderId="18" xfId="0" applyFont="1" applyFill="1" applyBorder="1" applyAlignment="1">
      <alignment horizontal="center" vertical="center" wrapText="1"/>
    </xf>
    <xf numFmtId="0" fontId="24" fillId="5" borderId="19" xfId="0" applyFont="1" applyFill="1" applyBorder="1" applyAlignment="1">
      <alignment horizontal="center" vertical="center" wrapText="1"/>
    </xf>
    <xf numFmtId="0" fontId="24" fillId="5" borderId="16" xfId="0" applyFont="1" applyFill="1" applyBorder="1" applyAlignment="1">
      <alignment horizontal="center" vertical="center" wrapText="1"/>
    </xf>
    <xf numFmtId="0" fontId="24" fillId="5" borderId="8" xfId="0" applyFont="1" applyFill="1" applyBorder="1" applyAlignment="1">
      <alignment horizontal="center" vertical="center" wrapText="1"/>
    </xf>
    <xf numFmtId="0" fontId="46" fillId="0" borderId="0" xfId="7" applyFont="1" applyFill="1" applyAlignment="1">
      <alignment horizontal="center"/>
    </xf>
    <xf numFmtId="0" fontId="43" fillId="0" borderId="0" xfId="7" applyFont="1" applyFill="1" applyAlignment="1">
      <alignment horizontal="center"/>
    </xf>
    <xf numFmtId="194" fontId="38" fillId="0" borderId="0" xfId="7" applyNumberFormat="1" applyFont="1" applyFill="1" applyAlignment="1">
      <alignment horizontal="left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0" fontId="23" fillId="0" borderId="3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0" fontId="23" fillId="0" borderId="22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23" fillId="0" borderId="33" xfId="0" applyNumberFormat="1" applyFont="1" applyFill="1" applyBorder="1" applyAlignment="1">
      <alignment horizontal="center" vertical="center" wrapText="1"/>
    </xf>
    <xf numFmtId="0" fontId="23" fillId="0" borderId="34" xfId="0" applyNumberFormat="1" applyFont="1" applyFill="1" applyBorder="1" applyAlignment="1">
      <alignment horizontal="center" vertical="center" wrapText="1"/>
    </xf>
  </cellXfs>
  <cellStyles count="8">
    <cellStyle name="Normal" xfId="0" builtinId="0"/>
    <cellStyle name="Normal 14 10" xfId="1"/>
    <cellStyle name="Normal 2 2" xfId="2"/>
    <cellStyle name="Normal 4" xfId="3"/>
    <cellStyle name="Normal_BOM LAP TOP DESK 7-1251 PRODUKSIREV" xfId="4"/>
    <cellStyle name="Normal_BOM MASTER SAMPLE" xfId="5"/>
    <cellStyle name="Normal_lamp table 72705" xfId="6"/>
    <cellStyle name="Normal_WAGON BOM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628650</xdr:colOff>
      <xdr:row>1</xdr:row>
      <xdr:rowOff>184150</xdr:rowOff>
    </xdr:from>
    <xdr:to>
      <xdr:col>17</xdr:col>
      <xdr:colOff>1314450</xdr:colOff>
      <xdr:row>9</xdr:row>
      <xdr:rowOff>260350</xdr:rowOff>
    </xdr:to>
    <xdr:pic>
      <xdr:nvPicPr>
        <xdr:cNvPr id="5807" name="Picture 2">
          <a:extLst>
            <a:ext uri="{FF2B5EF4-FFF2-40B4-BE49-F238E27FC236}">
              <a16:creationId xmlns:a16="http://schemas.microsoft.com/office/drawing/2014/main" id="{FABD41CF-9045-4C8C-9DDC-A516A3293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4" t="7497" r="57755" b="19415"/>
        <a:stretch>
          <a:fillRect/>
        </a:stretch>
      </xdr:blipFill>
      <xdr:spPr bwMode="auto">
        <a:xfrm>
          <a:off x="13442950" y="647700"/>
          <a:ext cx="1803400" cy="302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730250</xdr:colOff>
      <xdr:row>0</xdr:row>
      <xdr:rowOff>0</xdr:rowOff>
    </xdr:from>
    <xdr:to>
      <xdr:col>6</xdr:col>
      <xdr:colOff>400050</xdr:colOff>
      <xdr:row>10</xdr:row>
      <xdr:rowOff>171450</xdr:rowOff>
    </xdr:to>
    <xdr:pic>
      <xdr:nvPicPr>
        <xdr:cNvPr id="4829" name="Picture 2">
          <a:extLst>
            <a:ext uri="{FF2B5EF4-FFF2-40B4-BE49-F238E27FC236}">
              <a16:creationId xmlns:a16="http://schemas.microsoft.com/office/drawing/2014/main" id="{5ED4911D-D37D-46FA-8CDB-28BBF8DCE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4" t="7497" r="57755" b="19415"/>
        <a:stretch>
          <a:fillRect/>
        </a:stretch>
      </xdr:blipFill>
      <xdr:spPr bwMode="auto">
        <a:xfrm>
          <a:off x="7626350" y="0"/>
          <a:ext cx="1803400" cy="311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</xdr:col>
      <xdr:colOff>12700</xdr:colOff>
      <xdr:row>15</xdr:row>
      <xdr:rowOff>12700</xdr:rowOff>
    </xdr:to>
    <xdr:pic>
      <xdr:nvPicPr>
        <xdr:cNvPr id="9977" name="Picture 3">
          <a:extLst>
            <a:ext uri="{FF2B5EF4-FFF2-40B4-BE49-F238E27FC236}">
              <a16:creationId xmlns:a16="http://schemas.microsoft.com/office/drawing/2014/main" id="{CBCEE7F7-15D3-407D-B8DA-E5C88EDF2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8006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12700</xdr:colOff>
      <xdr:row>15</xdr:row>
      <xdr:rowOff>12700</xdr:rowOff>
    </xdr:to>
    <xdr:pic>
      <xdr:nvPicPr>
        <xdr:cNvPr id="9978" name="Picture 3">
          <a:extLst>
            <a:ext uri="{FF2B5EF4-FFF2-40B4-BE49-F238E27FC236}">
              <a16:creationId xmlns:a16="http://schemas.microsoft.com/office/drawing/2014/main" id="{AD3DD92D-6EAB-4EED-B450-DC44E06D6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48006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12700</xdr:colOff>
      <xdr:row>17</xdr:row>
      <xdr:rowOff>12700</xdr:rowOff>
    </xdr:to>
    <xdr:pic>
      <xdr:nvPicPr>
        <xdr:cNvPr id="9979" name="Picture 3">
          <a:extLst>
            <a:ext uri="{FF2B5EF4-FFF2-40B4-BE49-F238E27FC236}">
              <a16:creationId xmlns:a16="http://schemas.microsoft.com/office/drawing/2014/main" id="{FD1DF608-D3F1-4183-AFA0-513B7B77B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4700" y="5435600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692150</xdr:colOff>
      <xdr:row>1</xdr:row>
      <xdr:rowOff>44450</xdr:rowOff>
    </xdr:from>
    <xdr:to>
      <xdr:col>9</xdr:col>
      <xdr:colOff>1733550</xdr:colOff>
      <xdr:row>10</xdr:row>
      <xdr:rowOff>114300</xdr:rowOff>
    </xdr:to>
    <xdr:pic>
      <xdr:nvPicPr>
        <xdr:cNvPr id="9980" name="Picture 1117">
          <a:extLst>
            <a:ext uri="{FF2B5EF4-FFF2-40B4-BE49-F238E27FC236}">
              <a16:creationId xmlns:a16="http://schemas.microsoft.com/office/drawing/2014/main" id="{6D2B2AA7-A14D-43DA-81FB-DE3C1255A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394" t="16042" r="44881" b="23096"/>
        <a:stretch>
          <a:fillRect/>
        </a:stretch>
      </xdr:blipFill>
      <xdr:spPr bwMode="auto">
        <a:xfrm>
          <a:off x="9315450" y="450850"/>
          <a:ext cx="2540000" cy="333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opbox-01\PRODUCTS%20ENGINEERING%20PAWINDO\CHAIRS\SAMPLE%20CHAIRS\CANGGU\REGENT\POOLSIDE%20RESTO\PR-1022%20DINING%20CHAIR%20(POOLSIDE%20RESTO)\NEW\BOM\PR%20-%201022%20DINING%20CHAIR%20-%20CANGGU%20(%20Rev.14-03-2024%20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ber"/>
      <sheetName val="Bom Material"/>
      <sheetName val="Bom Hardware"/>
      <sheetName val="Bom Upholstery"/>
      <sheetName val="Bom Box"/>
      <sheetName val="Bom Upholstery."/>
    </sheetNames>
    <sheetDataSet>
      <sheetData sheetId="0"/>
      <sheetData sheetId="1">
        <row r="3">
          <cell r="D3" t="str">
            <v>Product Name</v>
          </cell>
        </row>
        <row r="4">
          <cell r="D4" t="str">
            <v>Product Type</v>
          </cell>
        </row>
        <row r="5">
          <cell r="D5" t="str">
            <v>Product code</v>
          </cell>
        </row>
        <row r="6">
          <cell r="D6" t="str">
            <v xml:space="preserve">Size </v>
          </cell>
        </row>
        <row r="7">
          <cell r="D7" t="str">
            <v>Painting</v>
          </cell>
        </row>
        <row r="8">
          <cell r="D8" t="str">
            <v>Date</v>
          </cell>
        </row>
        <row r="9">
          <cell r="D9" t="str">
            <v>Order</v>
          </cell>
          <cell r="F9">
            <v>1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6"/>
  <sheetViews>
    <sheetView zoomScale="80" zoomScaleNormal="80" zoomScaleSheetLayoutView="100" workbookViewId="0">
      <selection activeCell="I17" sqref="I17"/>
    </sheetView>
  </sheetViews>
  <sheetFormatPr defaultRowHeight="13" x14ac:dyDescent="0.3"/>
  <cols>
    <col min="1" max="1" width="5.26953125" style="126" customWidth="1"/>
    <col min="2" max="2" width="4.7265625" customWidth="1"/>
    <col min="3" max="3" width="5.1796875" style="126" customWidth="1"/>
    <col min="4" max="4" width="26.54296875" customWidth="1"/>
    <col min="5" max="5" width="11.81640625" bestFit="1" customWidth="1"/>
    <col min="6" max="6" width="7.453125" bestFit="1" customWidth="1"/>
    <col min="8" max="8" width="24.1796875" customWidth="1"/>
    <col min="9" max="9" width="30.26953125" customWidth="1"/>
    <col min="10" max="10" width="20.81640625" customWidth="1"/>
    <col min="11" max="11" width="5.26953125" style="126" customWidth="1"/>
    <col min="12" max="12" width="4.7265625" customWidth="1"/>
    <col min="13" max="13" width="5.1796875" style="126" customWidth="1"/>
    <col min="14" max="14" width="26.54296875" customWidth="1"/>
    <col min="15" max="15" width="11.81640625" bestFit="1" customWidth="1"/>
    <col min="16" max="16" width="7.453125" bestFit="1" customWidth="1"/>
    <col min="18" max="18" width="24.1796875" customWidth="1"/>
    <col min="19" max="19" width="2.26953125" customWidth="1"/>
    <col min="20" max="20" width="33.81640625" customWidth="1"/>
    <col min="21" max="21" width="5.26953125" style="126" customWidth="1"/>
    <col min="22" max="22" width="4.7265625" customWidth="1"/>
    <col min="23" max="23" width="5.1796875" style="126" customWidth="1"/>
    <col min="24" max="24" width="26.54296875" customWidth="1"/>
  </cols>
  <sheetData>
    <row r="1" spans="1:11" x14ac:dyDescent="0.3">
      <c r="A1" s="273">
        <v>1</v>
      </c>
      <c r="B1" s="274"/>
      <c r="C1" s="273">
        <v>1</v>
      </c>
      <c r="D1" s="274" t="s">
        <v>72</v>
      </c>
      <c r="E1" s="274">
        <v>44</v>
      </c>
      <c r="F1" s="274">
        <v>45</v>
      </c>
      <c r="G1" s="274">
        <v>743.5</v>
      </c>
      <c r="H1" s="274" t="s">
        <v>84</v>
      </c>
      <c r="K1"/>
    </row>
    <row r="2" spans="1:11" x14ac:dyDescent="0.3">
      <c r="A2" s="273">
        <v>2</v>
      </c>
      <c r="B2" s="274"/>
      <c r="C2" s="273">
        <v>1</v>
      </c>
      <c r="D2" s="274" t="s">
        <v>73</v>
      </c>
      <c r="E2" s="274">
        <v>44</v>
      </c>
      <c r="F2" s="274">
        <v>45</v>
      </c>
      <c r="G2" s="274">
        <v>743.5</v>
      </c>
      <c r="H2" s="274" t="s">
        <v>84</v>
      </c>
      <c r="K2"/>
    </row>
    <row r="3" spans="1:11" x14ac:dyDescent="0.3">
      <c r="A3" s="273">
        <v>3</v>
      </c>
      <c r="B3" s="274"/>
      <c r="C3" s="273">
        <v>1</v>
      </c>
      <c r="D3" s="274" t="s">
        <v>74</v>
      </c>
      <c r="E3" s="274">
        <v>38</v>
      </c>
      <c r="F3" s="274">
        <v>104</v>
      </c>
      <c r="G3" s="274">
        <v>1207</v>
      </c>
      <c r="H3" s="274" t="s">
        <v>99</v>
      </c>
      <c r="K3"/>
    </row>
    <row r="4" spans="1:11" x14ac:dyDescent="0.3">
      <c r="A4" s="273">
        <v>4</v>
      </c>
      <c r="B4" s="274"/>
      <c r="C4" s="273">
        <v>1</v>
      </c>
      <c r="D4" s="274" t="s">
        <v>75</v>
      </c>
      <c r="E4" s="274">
        <v>38</v>
      </c>
      <c r="F4" s="274">
        <v>104</v>
      </c>
      <c r="G4" s="274">
        <v>1207</v>
      </c>
      <c r="H4" s="274" t="s">
        <v>99</v>
      </c>
      <c r="K4"/>
    </row>
    <row r="5" spans="1:11" x14ac:dyDescent="0.3">
      <c r="A5" s="273">
        <v>5</v>
      </c>
      <c r="B5" s="274"/>
      <c r="C5" s="273">
        <v>1</v>
      </c>
      <c r="D5" s="274" t="s">
        <v>85</v>
      </c>
      <c r="E5" s="274">
        <v>25</v>
      </c>
      <c r="F5" s="274">
        <v>38</v>
      </c>
      <c r="G5" s="274">
        <v>509.5</v>
      </c>
      <c r="H5" s="274" t="s">
        <v>99</v>
      </c>
    </row>
    <row r="6" spans="1:11" x14ac:dyDescent="0.3">
      <c r="A6" s="273">
        <v>6</v>
      </c>
      <c r="B6" s="274"/>
      <c r="C6" s="273">
        <v>1</v>
      </c>
      <c r="D6" s="274" t="s">
        <v>86</v>
      </c>
      <c r="E6" s="274">
        <v>32.5</v>
      </c>
      <c r="F6" s="274">
        <v>38</v>
      </c>
      <c r="G6" s="274">
        <v>450.5</v>
      </c>
      <c r="H6" s="274" t="s">
        <v>99</v>
      </c>
    </row>
    <row r="7" spans="1:11" x14ac:dyDescent="0.3">
      <c r="A7" s="273">
        <v>7</v>
      </c>
      <c r="B7" s="274"/>
      <c r="C7" s="273">
        <v>1</v>
      </c>
      <c r="D7" s="274" t="s">
        <v>126</v>
      </c>
      <c r="E7" s="274">
        <v>32.5</v>
      </c>
      <c r="F7" s="274">
        <v>38</v>
      </c>
      <c r="G7" s="274">
        <v>450.5</v>
      </c>
      <c r="H7" s="274" t="s">
        <v>99</v>
      </c>
    </row>
    <row r="8" spans="1:11" x14ac:dyDescent="0.3">
      <c r="A8" s="273">
        <v>8</v>
      </c>
      <c r="B8" s="274"/>
      <c r="C8" s="273">
        <v>1</v>
      </c>
      <c r="D8" s="274" t="s">
        <v>87</v>
      </c>
      <c r="E8" s="274">
        <v>38</v>
      </c>
      <c r="F8" s="274">
        <v>59.5</v>
      </c>
      <c r="G8" s="274">
        <v>422</v>
      </c>
      <c r="H8" s="274" t="s">
        <v>99</v>
      </c>
    </row>
    <row r="9" spans="1:11" x14ac:dyDescent="0.3">
      <c r="A9" s="273">
        <v>9</v>
      </c>
      <c r="B9" s="274"/>
      <c r="C9" s="273">
        <v>1</v>
      </c>
      <c r="D9" s="274" t="s">
        <v>127</v>
      </c>
      <c r="E9" s="274">
        <v>23</v>
      </c>
      <c r="F9" s="274">
        <v>23</v>
      </c>
      <c r="G9" s="274">
        <v>515.5</v>
      </c>
      <c r="H9" s="274" t="s">
        <v>84</v>
      </c>
    </row>
    <row r="10" spans="1:11" x14ac:dyDescent="0.3">
      <c r="A10" s="273">
        <v>10</v>
      </c>
      <c r="B10" s="274"/>
      <c r="C10" s="273">
        <v>1</v>
      </c>
      <c r="D10" s="274" t="s">
        <v>128</v>
      </c>
      <c r="E10" s="274">
        <v>23</v>
      </c>
      <c r="F10" s="274">
        <v>23</v>
      </c>
      <c r="G10" s="274">
        <v>456.5</v>
      </c>
      <c r="H10" s="274" t="s">
        <v>84</v>
      </c>
    </row>
    <row r="11" spans="1:11" x14ac:dyDescent="0.3">
      <c r="A11" s="273">
        <v>11</v>
      </c>
      <c r="B11" s="274"/>
      <c r="C11" s="273">
        <v>1</v>
      </c>
      <c r="D11" s="274" t="s">
        <v>129</v>
      </c>
      <c r="E11" s="274">
        <v>23</v>
      </c>
      <c r="F11" s="274">
        <v>23</v>
      </c>
      <c r="G11" s="274">
        <v>515.5</v>
      </c>
      <c r="H11" s="274" t="s">
        <v>84</v>
      </c>
    </row>
    <row r="12" spans="1:11" x14ac:dyDescent="0.3">
      <c r="A12" s="273">
        <v>12</v>
      </c>
      <c r="B12" s="274"/>
      <c r="C12" s="273">
        <v>1</v>
      </c>
      <c r="D12" s="274" t="s">
        <v>130</v>
      </c>
      <c r="E12" s="274">
        <v>23</v>
      </c>
      <c r="F12" s="274">
        <v>23</v>
      </c>
      <c r="G12" s="274">
        <v>456.5</v>
      </c>
      <c r="H12" s="274" t="s">
        <v>84</v>
      </c>
    </row>
    <row r="13" spans="1:11" x14ac:dyDescent="0.3">
      <c r="A13" s="273">
        <v>13</v>
      </c>
      <c r="B13" s="274"/>
      <c r="C13" s="273">
        <v>1</v>
      </c>
      <c r="D13" s="274" t="s">
        <v>88</v>
      </c>
      <c r="E13" s="274">
        <v>23</v>
      </c>
      <c r="F13" s="274">
        <v>50.5</v>
      </c>
      <c r="G13" s="274">
        <v>444.5</v>
      </c>
      <c r="H13" s="274" t="s">
        <v>99</v>
      </c>
    </row>
    <row r="14" spans="1:11" x14ac:dyDescent="0.3">
      <c r="A14" s="273">
        <v>14</v>
      </c>
      <c r="B14" s="274"/>
      <c r="C14" s="273">
        <v>1</v>
      </c>
      <c r="D14" s="274" t="s">
        <v>89</v>
      </c>
      <c r="E14" s="274">
        <v>26</v>
      </c>
      <c r="F14" s="274">
        <v>68</v>
      </c>
      <c r="G14" s="274">
        <v>433</v>
      </c>
      <c r="H14" s="274" t="s">
        <v>84</v>
      </c>
    </row>
    <row r="15" spans="1:11" x14ac:dyDescent="0.3">
      <c r="A15" s="273">
        <v>15</v>
      </c>
      <c r="B15" s="274"/>
      <c r="C15" s="273">
        <v>1</v>
      </c>
      <c r="D15" s="274" t="s">
        <v>90</v>
      </c>
      <c r="E15" s="274">
        <v>26</v>
      </c>
      <c r="F15" s="274">
        <v>68</v>
      </c>
      <c r="G15" s="274">
        <v>433</v>
      </c>
      <c r="H15" s="274" t="s">
        <v>84</v>
      </c>
    </row>
    <row r="16" spans="1:11" x14ac:dyDescent="0.3">
      <c r="A16" s="273">
        <v>16</v>
      </c>
      <c r="B16" s="274"/>
      <c r="C16" s="273">
        <v>1</v>
      </c>
      <c r="D16" s="274" t="s">
        <v>91</v>
      </c>
      <c r="E16" s="274">
        <v>26</v>
      </c>
      <c r="F16" s="274">
        <v>65</v>
      </c>
      <c r="G16" s="274">
        <v>433</v>
      </c>
      <c r="H16" s="274" t="s">
        <v>84</v>
      </c>
    </row>
    <row r="17" spans="1:9" x14ac:dyDescent="0.3">
      <c r="A17" s="273">
        <v>17</v>
      </c>
      <c r="B17" s="274"/>
      <c r="C17" s="273">
        <v>1</v>
      </c>
      <c r="D17" s="274" t="s">
        <v>131</v>
      </c>
      <c r="E17" s="274">
        <v>19</v>
      </c>
      <c r="F17" s="274">
        <v>254</v>
      </c>
      <c r="G17" s="274">
        <v>455</v>
      </c>
      <c r="H17" s="274" t="s">
        <v>84</v>
      </c>
      <c r="I17" t="s">
        <v>102</v>
      </c>
    </row>
    <row r="18" spans="1:9" x14ac:dyDescent="0.3">
      <c r="A18" s="273">
        <v>18</v>
      </c>
      <c r="B18" s="274"/>
      <c r="C18" s="273">
        <v>1</v>
      </c>
      <c r="D18" s="274" t="s">
        <v>92</v>
      </c>
      <c r="E18" s="274">
        <v>32</v>
      </c>
      <c r="F18" s="274">
        <v>43.5</v>
      </c>
      <c r="G18" s="274">
        <v>106</v>
      </c>
      <c r="H18" s="274" t="s">
        <v>132</v>
      </c>
      <c r="I18" t="s">
        <v>133</v>
      </c>
    </row>
    <row r="19" spans="1:9" x14ac:dyDescent="0.3">
      <c r="A19" s="273">
        <v>19</v>
      </c>
      <c r="B19" s="274"/>
      <c r="C19" s="273">
        <v>1</v>
      </c>
      <c r="D19" s="274" t="s">
        <v>93</v>
      </c>
      <c r="E19" s="274">
        <v>32</v>
      </c>
      <c r="F19" s="274">
        <v>43.5</v>
      </c>
      <c r="G19" s="274">
        <v>106</v>
      </c>
      <c r="H19" s="274" t="s">
        <v>132</v>
      </c>
      <c r="I19" t="s">
        <v>133</v>
      </c>
    </row>
    <row r="20" spans="1:9" x14ac:dyDescent="0.3">
      <c r="A20" s="273">
        <v>20</v>
      </c>
      <c r="B20" s="274"/>
      <c r="C20" s="273">
        <v>1</v>
      </c>
      <c r="D20" s="274" t="s">
        <v>94</v>
      </c>
      <c r="E20" s="274">
        <v>32</v>
      </c>
      <c r="F20" s="274">
        <v>38</v>
      </c>
      <c r="G20" s="274">
        <v>139</v>
      </c>
      <c r="H20" s="274" t="s">
        <v>134</v>
      </c>
      <c r="I20" t="s">
        <v>133</v>
      </c>
    </row>
    <row r="21" spans="1:9" x14ac:dyDescent="0.3">
      <c r="A21" s="273">
        <v>21</v>
      </c>
      <c r="B21" s="274"/>
      <c r="C21" s="273">
        <v>1</v>
      </c>
      <c r="D21" s="274" t="s">
        <v>135</v>
      </c>
      <c r="E21" s="274">
        <v>32</v>
      </c>
      <c r="F21" s="274">
        <v>38</v>
      </c>
      <c r="G21" s="274">
        <v>139</v>
      </c>
      <c r="H21" s="274" t="s">
        <v>134</v>
      </c>
      <c r="I21" t="s">
        <v>133</v>
      </c>
    </row>
    <row r="22" spans="1:9" x14ac:dyDescent="0.3">
      <c r="A22" s="273">
        <v>22</v>
      </c>
      <c r="B22" s="274"/>
      <c r="C22" s="273">
        <v>1</v>
      </c>
      <c r="D22" s="274" t="s">
        <v>103</v>
      </c>
      <c r="E22" s="274">
        <v>22</v>
      </c>
      <c r="F22" s="274">
        <v>22</v>
      </c>
      <c r="G22" s="274">
        <v>432.5</v>
      </c>
      <c r="H22" s="274" t="s">
        <v>104</v>
      </c>
    </row>
    <row r="23" spans="1:9" x14ac:dyDescent="0.3">
      <c r="A23" s="273">
        <v>23</v>
      </c>
      <c r="B23" s="274"/>
      <c r="C23" s="273">
        <v>1</v>
      </c>
      <c r="D23" s="274" t="s">
        <v>105</v>
      </c>
      <c r="E23" s="274">
        <v>22</v>
      </c>
      <c r="F23" s="274">
        <v>22</v>
      </c>
      <c r="G23" s="274">
        <v>432.5</v>
      </c>
      <c r="H23" s="274" t="s">
        <v>104</v>
      </c>
    </row>
    <row r="24" spans="1:9" x14ac:dyDescent="0.3">
      <c r="A24" s="273">
        <v>24</v>
      </c>
      <c r="B24" s="274"/>
      <c r="C24" s="273">
        <v>1</v>
      </c>
      <c r="D24" s="274" t="s">
        <v>136</v>
      </c>
      <c r="E24" s="274">
        <v>19</v>
      </c>
      <c r="F24" s="274">
        <v>19</v>
      </c>
      <c r="G24" s="274">
        <v>498.5</v>
      </c>
      <c r="H24" s="274" t="s">
        <v>104</v>
      </c>
    </row>
    <row r="25" spans="1:9" x14ac:dyDescent="0.3">
      <c r="A25" s="273">
        <v>25</v>
      </c>
      <c r="B25" s="274"/>
      <c r="C25" s="273">
        <v>4</v>
      </c>
      <c r="D25" s="274" t="s">
        <v>137</v>
      </c>
      <c r="E25" s="274">
        <v>10</v>
      </c>
      <c r="F25" s="274">
        <v>10</v>
      </c>
      <c r="G25" s="274">
        <v>30</v>
      </c>
      <c r="H25" s="274" t="s">
        <v>101</v>
      </c>
    </row>
    <row r="26" spans="1:9" x14ac:dyDescent="0.3">
      <c r="A26" s="273">
        <v>26</v>
      </c>
      <c r="B26" s="274"/>
      <c r="C26" s="273">
        <v>4</v>
      </c>
      <c r="D26" s="274" t="s">
        <v>106</v>
      </c>
      <c r="E26" s="274">
        <v>10</v>
      </c>
      <c r="F26" s="274">
        <v>10</v>
      </c>
      <c r="G26" s="274">
        <v>20</v>
      </c>
      <c r="H26" s="274" t="s">
        <v>101</v>
      </c>
    </row>
  </sheetData>
  <pageMargins left="0.74803149606299213" right="0.74803149606299213" top="0.98425196850393704" bottom="0.98425196850393704" header="0.51181102362204722" footer="0.51181102362204722"/>
  <pageSetup scale="67" fitToHeight="2" orientation="landscape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4"/>
  <sheetViews>
    <sheetView topLeftCell="A7" zoomScale="60" zoomScaleNormal="60" zoomScaleSheetLayoutView="55" workbookViewId="0">
      <selection activeCell="H64" sqref="H64"/>
    </sheetView>
  </sheetViews>
  <sheetFormatPr defaultColWidth="9.1796875" defaultRowHeight="15.5" outlineLevelCol="1" x14ac:dyDescent="0.45"/>
  <cols>
    <col min="1" max="1" width="7.7265625" style="35" customWidth="1"/>
    <col min="2" max="2" width="11.26953125" style="35" customWidth="1"/>
    <col min="3" max="3" width="15.54296875" style="30" hidden="1" customWidth="1"/>
    <col min="4" max="4" width="53" style="30" customWidth="1"/>
    <col min="5" max="5" width="8" style="77" customWidth="1" outlineLevel="1"/>
    <col min="6" max="6" width="10" style="35" customWidth="1"/>
    <col min="7" max="7" width="9.1796875" style="78" customWidth="1" outlineLevel="1"/>
    <col min="8" max="8" width="11.26953125" style="35" customWidth="1"/>
    <col min="9" max="9" width="9.1796875" style="78" customWidth="1" outlineLevel="1"/>
    <col min="10" max="10" width="10.81640625" style="35" customWidth="1"/>
    <col min="11" max="11" width="0.81640625" style="35" customWidth="1"/>
    <col min="12" max="12" width="11.26953125" style="35" customWidth="1"/>
    <col min="13" max="13" width="11" style="35" customWidth="1"/>
    <col min="14" max="14" width="11.453125" style="35" customWidth="1"/>
    <col min="15" max="15" width="8.7265625" style="35" customWidth="1"/>
    <col min="16" max="16" width="9.7265625" style="35" customWidth="1"/>
    <col min="17" max="17" width="16" style="35" customWidth="1"/>
    <col min="18" max="18" width="37.81640625" style="30" customWidth="1"/>
    <col min="19" max="19" width="75.1796875" style="30" customWidth="1"/>
    <col min="20" max="20" width="36.26953125" style="5" customWidth="1"/>
    <col min="21" max="21" width="12.54296875" style="6" customWidth="1"/>
    <col min="22" max="22" width="10.7265625" style="6" customWidth="1"/>
    <col min="23" max="23" width="11.26953125" style="6" customWidth="1"/>
    <col min="24" max="16384" width="9.1796875" style="6"/>
  </cols>
  <sheetData>
    <row r="1" spans="1:23" ht="36.5" x14ac:dyDescent="0.45">
      <c r="A1" s="291" t="s">
        <v>1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</row>
    <row r="2" spans="1:23" ht="36.5" x14ac:dyDescent="0.45">
      <c r="A2" s="292" t="s">
        <v>40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</row>
    <row r="3" spans="1:23" ht="28" x14ac:dyDescent="0.45">
      <c r="A3" s="7"/>
      <c r="B3" s="7"/>
      <c r="C3" s="8"/>
      <c r="D3" s="8" t="s">
        <v>2</v>
      </c>
      <c r="E3" s="9"/>
      <c r="F3" s="244" t="s">
        <v>81</v>
      </c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0"/>
      <c r="S3" s="11"/>
    </row>
    <row r="4" spans="1:23" ht="28" x14ac:dyDescent="0.45">
      <c r="A4" s="7"/>
      <c r="B4" s="7"/>
      <c r="C4" s="8"/>
      <c r="D4" s="8" t="s">
        <v>3</v>
      </c>
      <c r="E4" s="9"/>
      <c r="F4" s="244" t="s">
        <v>138</v>
      </c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0"/>
      <c r="S4" s="11"/>
    </row>
    <row r="5" spans="1:23" ht="28" x14ac:dyDescent="0.45">
      <c r="A5" s="7"/>
      <c r="B5" s="7"/>
      <c r="C5" s="8"/>
      <c r="D5" s="8" t="s">
        <v>4</v>
      </c>
      <c r="E5" s="9"/>
      <c r="F5" s="244" t="s">
        <v>139</v>
      </c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0"/>
      <c r="S5" s="11"/>
    </row>
    <row r="6" spans="1:23" ht="28" x14ac:dyDescent="0.8">
      <c r="A6" s="7"/>
      <c r="B6" s="7"/>
      <c r="C6" s="8"/>
      <c r="D6" s="8" t="s">
        <v>5</v>
      </c>
      <c r="E6" s="9"/>
      <c r="F6" s="300" t="str">
        <f xml:space="preserve">   ": "&amp;U6&amp;" mm x "&amp;V6&amp;" mm x "&amp;W6&amp;" mm"</f>
        <v>: 542 mm x 612 mm x 1215 mm</v>
      </c>
      <c r="G6" s="300"/>
      <c r="H6" s="300"/>
      <c r="I6" s="300"/>
      <c r="J6" s="300"/>
      <c r="K6" s="300"/>
      <c r="L6" s="300"/>
      <c r="M6" s="266"/>
      <c r="N6" s="12"/>
      <c r="O6" s="13"/>
      <c r="P6" s="7"/>
      <c r="Q6" s="14"/>
      <c r="R6" s="10"/>
      <c r="S6" s="11"/>
      <c r="U6" s="128">
        <v>542</v>
      </c>
      <c r="V6" s="128">
        <v>612</v>
      </c>
      <c r="W6" s="128">
        <v>1215</v>
      </c>
    </row>
    <row r="7" spans="1:23" ht="27.5" x14ac:dyDescent="0.45">
      <c r="A7" s="15"/>
      <c r="B7" s="15"/>
      <c r="C7" s="16"/>
      <c r="D7" s="8" t="s">
        <v>6</v>
      </c>
      <c r="E7" s="9"/>
      <c r="F7" s="243" t="s">
        <v>140</v>
      </c>
      <c r="G7" s="17"/>
      <c r="H7" s="12"/>
      <c r="I7" s="17"/>
      <c r="J7" s="12"/>
      <c r="K7" s="12"/>
      <c r="L7" s="12"/>
      <c r="M7" s="12"/>
      <c r="N7" s="12"/>
      <c r="O7" s="12"/>
      <c r="P7" s="12"/>
      <c r="Q7" s="12"/>
      <c r="R7" s="10" t="s">
        <v>42</v>
      </c>
      <c r="S7" s="11"/>
    </row>
    <row r="8" spans="1:23" ht="28" x14ac:dyDescent="0.45">
      <c r="A8" s="15"/>
      <c r="B8" s="15"/>
      <c r="C8" s="16"/>
      <c r="D8" s="8" t="s">
        <v>7</v>
      </c>
      <c r="E8" s="18"/>
      <c r="F8" s="295">
        <v>1</v>
      </c>
      <c r="G8" s="295"/>
      <c r="H8" s="19"/>
      <c r="I8" s="17"/>
      <c r="J8" s="12"/>
      <c r="K8" s="12"/>
      <c r="L8" s="12"/>
      <c r="M8" s="12"/>
      <c r="N8" s="12"/>
      <c r="O8" s="13"/>
      <c r="P8" s="7"/>
      <c r="Q8" s="20"/>
      <c r="R8" s="10"/>
      <c r="S8" s="10"/>
    </row>
    <row r="9" spans="1:23" ht="28" x14ac:dyDescent="0.45">
      <c r="A9" s="21"/>
      <c r="B9" s="21"/>
      <c r="C9" s="22"/>
      <c r="D9" s="23"/>
      <c r="E9" s="24"/>
      <c r="F9" s="25"/>
      <c r="G9" s="26"/>
      <c r="H9" s="25"/>
      <c r="I9" s="26"/>
      <c r="J9" s="25"/>
      <c r="K9" s="25"/>
      <c r="L9" s="25"/>
      <c r="M9" s="25"/>
      <c r="N9" s="25"/>
      <c r="O9" s="27"/>
      <c r="P9" s="28"/>
      <c r="Q9" s="29"/>
      <c r="S9" s="31"/>
    </row>
    <row r="10" spans="1:23" ht="28.5" thickBot="1" x14ac:dyDescent="0.5">
      <c r="A10" s="127" t="s">
        <v>8</v>
      </c>
      <c r="B10" s="32"/>
      <c r="C10" s="33"/>
      <c r="D10" s="23"/>
      <c r="E10" s="24"/>
      <c r="F10" s="25"/>
      <c r="G10" s="26"/>
      <c r="H10" s="25"/>
      <c r="I10" s="26"/>
      <c r="J10" s="25"/>
      <c r="K10" s="25"/>
      <c r="L10" s="25"/>
      <c r="M10" s="25"/>
      <c r="N10" s="25"/>
      <c r="O10" s="27"/>
      <c r="P10" s="28"/>
      <c r="Q10" s="29"/>
      <c r="R10" s="31"/>
      <c r="S10" s="31"/>
    </row>
    <row r="11" spans="1:23" s="35" customFormat="1" ht="25" customHeight="1" x14ac:dyDescent="0.3">
      <c r="A11" s="298" t="s">
        <v>37</v>
      </c>
      <c r="B11" s="293" t="s">
        <v>10</v>
      </c>
      <c r="C11" s="293"/>
      <c r="D11" s="293" t="s">
        <v>11</v>
      </c>
      <c r="E11" s="288" t="s">
        <v>12</v>
      </c>
      <c r="F11" s="288"/>
      <c r="G11" s="288"/>
      <c r="H11" s="288"/>
      <c r="I11" s="288"/>
      <c r="J11" s="288"/>
      <c r="K11" s="118"/>
      <c r="L11" s="288" t="s">
        <v>13</v>
      </c>
      <c r="M11" s="288"/>
      <c r="N11" s="288"/>
      <c r="O11" s="301" t="s">
        <v>14</v>
      </c>
      <c r="P11" s="293" t="s">
        <v>15</v>
      </c>
      <c r="Q11" s="308" t="s">
        <v>16</v>
      </c>
      <c r="R11" s="293" t="s">
        <v>17</v>
      </c>
      <c r="S11" s="296" t="s">
        <v>18</v>
      </c>
      <c r="T11" s="34"/>
    </row>
    <row r="12" spans="1:23" s="35" customFormat="1" ht="45.75" customHeight="1" thickBot="1" x14ac:dyDescent="0.35">
      <c r="A12" s="299"/>
      <c r="B12" s="294"/>
      <c r="C12" s="294"/>
      <c r="D12" s="294"/>
      <c r="E12" s="290" t="s">
        <v>19</v>
      </c>
      <c r="F12" s="290"/>
      <c r="G12" s="290" t="s">
        <v>20</v>
      </c>
      <c r="H12" s="290"/>
      <c r="I12" s="290" t="s">
        <v>21</v>
      </c>
      <c r="J12" s="290"/>
      <c r="K12" s="112"/>
      <c r="L12" s="112" t="s">
        <v>19</v>
      </c>
      <c r="M12" s="112" t="s">
        <v>20</v>
      </c>
      <c r="N12" s="112" t="s">
        <v>21</v>
      </c>
      <c r="O12" s="302"/>
      <c r="P12" s="294"/>
      <c r="Q12" s="309"/>
      <c r="R12" s="294"/>
      <c r="S12" s="297"/>
      <c r="T12" s="34"/>
    </row>
    <row r="13" spans="1:23" s="37" customFormat="1" ht="46.5" customHeight="1" thickBot="1" x14ac:dyDescent="0.75">
      <c r="A13" s="305" t="s">
        <v>44</v>
      </c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7"/>
      <c r="T13" s="36"/>
    </row>
    <row r="14" spans="1:23" s="37" customFormat="1" ht="60" customHeight="1" x14ac:dyDescent="0.7">
      <c r="A14" s="135">
        <f>SUMBER!A1</f>
        <v>1</v>
      </c>
      <c r="B14" s="136" t="s">
        <v>35</v>
      </c>
      <c r="C14" s="137"/>
      <c r="D14" s="138" t="str">
        <f>SUMBER!D1</f>
        <v>FRONT LEG L</v>
      </c>
      <c r="E14" s="139"/>
      <c r="F14" s="140"/>
      <c r="G14" s="141"/>
      <c r="H14" s="140"/>
      <c r="I14" s="142"/>
      <c r="J14" s="143"/>
      <c r="K14" s="143"/>
      <c r="L14" s="143">
        <f>SUMBER!E1</f>
        <v>44</v>
      </c>
      <c r="M14" s="143">
        <f>SUMBER!F1</f>
        <v>45</v>
      </c>
      <c r="N14" s="143">
        <f>SUMBER!G1</f>
        <v>743.5</v>
      </c>
      <c r="O14" s="143">
        <f>SUMBER!C1</f>
        <v>1</v>
      </c>
      <c r="P14" s="144"/>
      <c r="Q14" s="145"/>
      <c r="R14" s="146" t="str">
        <f>SUMBER!H1</f>
        <v>SL. Mahoni</v>
      </c>
      <c r="S14" s="147"/>
      <c r="T14" s="194"/>
    </row>
    <row r="15" spans="1:23" s="37" customFormat="1" ht="40" customHeight="1" x14ac:dyDescent="0.7">
      <c r="A15" s="148" t="s">
        <v>41</v>
      </c>
      <c r="B15" s="51" t="s">
        <v>36</v>
      </c>
      <c r="C15" s="52"/>
      <c r="D15" s="53" t="s">
        <v>43</v>
      </c>
      <c r="E15" s="56">
        <v>5</v>
      </c>
      <c r="F15" s="55">
        <f>L15+E15</f>
        <v>49</v>
      </c>
      <c r="G15" s="56">
        <v>5</v>
      </c>
      <c r="H15" s="57">
        <f>G15+M15</f>
        <v>50</v>
      </c>
      <c r="I15" s="58">
        <v>10</v>
      </c>
      <c r="J15" s="59">
        <f>I15+N15</f>
        <v>753.5</v>
      </c>
      <c r="K15" s="59"/>
      <c r="L15" s="59">
        <f>L14</f>
        <v>44</v>
      </c>
      <c r="M15" s="267">
        <f>M14</f>
        <v>45</v>
      </c>
      <c r="N15" s="59">
        <f>N14</f>
        <v>743.5</v>
      </c>
      <c r="O15" s="59">
        <f>O14</f>
        <v>1</v>
      </c>
      <c r="P15" s="59">
        <f>O15*F$8</f>
        <v>1</v>
      </c>
      <c r="Q15" s="60">
        <f>P15*J15*H15*F15/1000000000</f>
        <v>1.846075E-3</v>
      </c>
      <c r="R15" s="61" t="str">
        <f>R14</f>
        <v>SL. Mahoni</v>
      </c>
      <c r="S15" s="62"/>
      <c r="T15" s="50"/>
    </row>
    <row r="16" spans="1:23" s="37" customFormat="1" ht="10" customHeight="1" x14ac:dyDescent="0.7">
      <c r="A16" s="38"/>
      <c r="B16" s="51"/>
      <c r="C16" s="122"/>
      <c r="D16" s="123"/>
      <c r="E16" s="56"/>
      <c r="F16" s="55"/>
      <c r="G16" s="56"/>
      <c r="H16" s="57"/>
      <c r="I16" s="58"/>
      <c r="J16" s="59"/>
      <c r="K16" s="59"/>
      <c r="L16" s="59"/>
      <c r="M16" s="59"/>
      <c r="N16" s="59"/>
      <c r="O16" s="59"/>
      <c r="P16" s="59"/>
      <c r="Q16" s="59"/>
      <c r="R16" s="60"/>
      <c r="S16" s="124"/>
      <c r="T16" s="36"/>
    </row>
    <row r="17" spans="1:20" s="37" customFormat="1" ht="60" customHeight="1" x14ac:dyDescent="0.7">
      <c r="A17" s="38">
        <f>SUMBER!A2</f>
        <v>2</v>
      </c>
      <c r="B17" s="39" t="s">
        <v>35</v>
      </c>
      <c r="C17" s="40"/>
      <c r="D17" s="41" t="str">
        <f>SUMBER!D2</f>
        <v>FRONT LEG R</v>
      </c>
      <c r="E17" s="42"/>
      <c r="F17" s="43"/>
      <c r="G17" s="44"/>
      <c r="H17" s="43"/>
      <c r="I17" s="45"/>
      <c r="J17" s="46"/>
      <c r="K17" s="46"/>
      <c r="L17" s="46">
        <f>SUMBER!E2</f>
        <v>44</v>
      </c>
      <c r="M17" s="46">
        <f>SUMBER!F2</f>
        <v>45</v>
      </c>
      <c r="N17" s="46">
        <f>SUMBER!G2</f>
        <v>743.5</v>
      </c>
      <c r="O17" s="46">
        <f>SUMBER!C2</f>
        <v>1</v>
      </c>
      <c r="P17" s="47"/>
      <c r="Q17" s="48"/>
      <c r="R17" s="49" t="str">
        <f>SUMBER!H2</f>
        <v>SL. Mahoni</v>
      </c>
      <c r="S17" s="147"/>
      <c r="T17" s="194"/>
    </row>
    <row r="18" spans="1:20" s="37" customFormat="1" ht="40" customHeight="1" x14ac:dyDescent="0.7">
      <c r="A18" s="148" t="s">
        <v>41</v>
      </c>
      <c r="B18" s="51" t="s">
        <v>36</v>
      </c>
      <c r="C18" s="52"/>
      <c r="D18" s="53" t="s">
        <v>43</v>
      </c>
      <c r="E18" s="56">
        <v>5</v>
      </c>
      <c r="F18" s="55">
        <f>L18+E18</f>
        <v>49</v>
      </c>
      <c r="G18" s="56">
        <v>5</v>
      </c>
      <c r="H18" s="57">
        <f>G18+M18</f>
        <v>50</v>
      </c>
      <c r="I18" s="58">
        <v>10</v>
      </c>
      <c r="J18" s="59">
        <f>I18+N18</f>
        <v>753.5</v>
      </c>
      <c r="K18" s="59"/>
      <c r="L18" s="59">
        <f>L17</f>
        <v>44</v>
      </c>
      <c r="M18" s="267">
        <f>M17</f>
        <v>45</v>
      </c>
      <c r="N18" s="59">
        <f>N17</f>
        <v>743.5</v>
      </c>
      <c r="O18" s="59">
        <f>O17</f>
        <v>1</v>
      </c>
      <c r="P18" s="59">
        <f>O18*F$8</f>
        <v>1</v>
      </c>
      <c r="Q18" s="60">
        <f>P18*J18*H18*F18/1000000000</f>
        <v>1.846075E-3</v>
      </c>
      <c r="R18" s="61" t="str">
        <f>R17</f>
        <v>SL. Mahoni</v>
      </c>
      <c r="S18" s="62"/>
      <c r="T18" s="50"/>
    </row>
    <row r="19" spans="1:20" s="37" customFormat="1" ht="10" customHeight="1" x14ac:dyDescent="0.7">
      <c r="A19" s="38"/>
      <c r="B19" s="51"/>
      <c r="C19" s="122"/>
      <c r="D19" s="123"/>
      <c r="E19" s="56"/>
      <c r="F19" s="55"/>
      <c r="G19" s="56"/>
      <c r="H19" s="57"/>
      <c r="I19" s="58"/>
      <c r="J19" s="59"/>
      <c r="K19" s="59"/>
      <c r="L19" s="59"/>
      <c r="M19" s="59"/>
      <c r="N19" s="59"/>
      <c r="O19" s="59"/>
      <c r="P19" s="59"/>
      <c r="Q19" s="59"/>
      <c r="R19" s="60"/>
      <c r="S19" s="124"/>
      <c r="T19" s="36"/>
    </row>
    <row r="20" spans="1:20" s="37" customFormat="1" ht="60" customHeight="1" x14ac:dyDescent="0.7">
      <c r="A20" s="38">
        <f>SUMBER!A3</f>
        <v>3</v>
      </c>
      <c r="B20" s="39" t="s">
        <v>35</v>
      </c>
      <c r="C20" s="40"/>
      <c r="D20" s="41" t="str">
        <f>SUMBER!D3</f>
        <v>BACK LEG L</v>
      </c>
      <c r="E20" s="42"/>
      <c r="F20" s="43"/>
      <c r="G20" s="44"/>
      <c r="H20" s="43"/>
      <c r="I20" s="45"/>
      <c r="J20" s="46"/>
      <c r="K20" s="46"/>
      <c r="L20" s="46">
        <f>SUMBER!E3</f>
        <v>38</v>
      </c>
      <c r="M20" s="46">
        <f>SUMBER!F3</f>
        <v>104</v>
      </c>
      <c r="N20" s="46">
        <f>SUMBER!G3</f>
        <v>1207</v>
      </c>
      <c r="O20" s="46">
        <f>SUMBER!C3</f>
        <v>1</v>
      </c>
      <c r="P20" s="47"/>
      <c r="Q20" s="48"/>
      <c r="R20" s="49" t="str">
        <f>SUMBER!H3</f>
        <v>SL.Mahoni</v>
      </c>
      <c r="S20" s="147"/>
      <c r="T20" s="265"/>
    </row>
    <row r="21" spans="1:20" s="37" customFormat="1" ht="40" customHeight="1" x14ac:dyDescent="0.7">
      <c r="A21" s="148" t="s">
        <v>41</v>
      </c>
      <c r="B21" s="51" t="s">
        <v>36</v>
      </c>
      <c r="C21" s="52"/>
      <c r="D21" s="53" t="s">
        <v>43</v>
      </c>
      <c r="E21" s="56">
        <v>5</v>
      </c>
      <c r="F21" s="55">
        <f>L21+E21</f>
        <v>43</v>
      </c>
      <c r="G21" s="56">
        <v>5</v>
      </c>
      <c r="H21" s="57">
        <f>G21+M21</f>
        <v>109</v>
      </c>
      <c r="I21" s="58">
        <v>10</v>
      </c>
      <c r="J21" s="59">
        <f>I21+N21</f>
        <v>1217</v>
      </c>
      <c r="K21" s="59"/>
      <c r="L21" s="59">
        <f>L20</f>
        <v>38</v>
      </c>
      <c r="M21" s="267">
        <f>M20</f>
        <v>104</v>
      </c>
      <c r="N21" s="59">
        <f>N20</f>
        <v>1207</v>
      </c>
      <c r="O21" s="59">
        <f>O20</f>
        <v>1</v>
      </c>
      <c r="P21" s="59">
        <f>O21*F$8</f>
        <v>1</v>
      </c>
      <c r="Q21" s="60">
        <f>P21*J21*H21*F21/1000000000</f>
        <v>5.7040789999999999E-3</v>
      </c>
      <c r="R21" s="61" t="str">
        <f>R20</f>
        <v>SL.Mahoni</v>
      </c>
      <c r="S21" s="62"/>
      <c r="T21" s="50"/>
    </row>
    <row r="22" spans="1:20" s="37" customFormat="1" ht="10" customHeight="1" x14ac:dyDescent="0.7">
      <c r="A22" s="38"/>
      <c r="B22" s="51"/>
      <c r="C22" s="122"/>
      <c r="D22" s="123"/>
      <c r="E22" s="56"/>
      <c r="F22" s="55"/>
      <c r="G22" s="56"/>
      <c r="H22" s="57"/>
      <c r="I22" s="58"/>
      <c r="J22" s="59"/>
      <c r="K22" s="59"/>
      <c r="L22" s="59"/>
      <c r="M22" s="59"/>
      <c r="N22" s="59"/>
      <c r="O22" s="59"/>
      <c r="P22" s="59"/>
      <c r="Q22" s="59"/>
      <c r="R22" s="60"/>
      <c r="S22" s="124"/>
      <c r="T22" s="36"/>
    </row>
    <row r="23" spans="1:20" s="37" customFormat="1" ht="60" customHeight="1" x14ac:dyDescent="0.7">
      <c r="A23" s="38">
        <f>SUMBER!A4</f>
        <v>4</v>
      </c>
      <c r="B23" s="39" t="s">
        <v>35</v>
      </c>
      <c r="C23" s="40"/>
      <c r="D23" s="41" t="str">
        <f>SUMBER!D4</f>
        <v>BACK LEG R</v>
      </c>
      <c r="E23" s="42"/>
      <c r="F23" s="43"/>
      <c r="G23" s="44"/>
      <c r="H23" s="43"/>
      <c r="I23" s="45"/>
      <c r="J23" s="46"/>
      <c r="K23" s="46"/>
      <c r="L23" s="46">
        <f>SUMBER!E4</f>
        <v>38</v>
      </c>
      <c r="M23" s="46">
        <f>SUMBER!F4</f>
        <v>104</v>
      </c>
      <c r="N23" s="46">
        <f>SUMBER!G4</f>
        <v>1207</v>
      </c>
      <c r="O23" s="46">
        <f>SUMBER!C4</f>
        <v>1</v>
      </c>
      <c r="P23" s="47"/>
      <c r="Q23" s="48"/>
      <c r="R23" s="49" t="str">
        <f>SUMBER!H4</f>
        <v>SL.Mahoni</v>
      </c>
      <c r="S23" s="147"/>
      <c r="T23" s="265"/>
    </row>
    <row r="24" spans="1:20" s="37" customFormat="1" ht="40" customHeight="1" x14ac:dyDescent="0.7">
      <c r="A24" s="148" t="s">
        <v>41</v>
      </c>
      <c r="B24" s="51" t="s">
        <v>36</v>
      </c>
      <c r="C24" s="52"/>
      <c r="D24" s="53" t="s">
        <v>43</v>
      </c>
      <c r="E24" s="56">
        <v>5</v>
      </c>
      <c r="F24" s="55">
        <f>L24+E24</f>
        <v>43</v>
      </c>
      <c r="G24" s="56">
        <v>5</v>
      </c>
      <c r="H24" s="57">
        <f>G24+M24</f>
        <v>109</v>
      </c>
      <c r="I24" s="58">
        <v>10</v>
      </c>
      <c r="J24" s="59">
        <f>I24+N24</f>
        <v>1217</v>
      </c>
      <c r="K24" s="59"/>
      <c r="L24" s="59">
        <f>L23</f>
        <v>38</v>
      </c>
      <c r="M24" s="267">
        <f>M23</f>
        <v>104</v>
      </c>
      <c r="N24" s="59">
        <f>N23</f>
        <v>1207</v>
      </c>
      <c r="O24" s="59">
        <f>O23</f>
        <v>1</v>
      </c>
      <c r="P24" s="59">
        <f>O24*F$8</f>
        <v>1</v>
      </c>
      <c r="Q24" s="60">
        <f>P24*J24*H24*F24/1000000000</f>
        <v>5.7040789999999999E-3</v>
      </c>
      <c r="R24" s="61" t="str">
        <f>R23</f>
        <v>SL.Mahoni</v>
      </c>
      <c r="S24" s="62"/>
      <c r="T24" s="50"/>
    </row>
    <row r="25" spans="1:20" s="37" customFormat="1" ht="10" customHeight="1" x14ac:dyDescent="0.7">
      <c r="A25" s="38"/>
      <c r="B25" s="51"/>
      <c r="C25" s="122"/>
      <c r="D25" s="123"/>
      <c r="E25" s="56"/>
      <c r="F25" s="55"/>
      <c r="G25" s="56"/>
      <c r="H25" s="57"/>
      <c r="I25" s="58"/>
      <c r="J25" s="59"/>
      <c r="K25" s="59"/>
      <c r="L25" s="59"/>
      <c r="M25" s="59"/>
      <c r="N25" s="59"/>
      <c r="O25" s="59"/>
      <c r="P25" s="59"/>
      <c r="Q25" s="59"/>
      <c r="R25" s="60"/>
      <c r="S25" s="124"/>
      <c r="T25" s="36"/>
    </row>
    <row r="26" spans="1:20" s="37" customFormat="1" ht="60" customHeight="1" x14ac:dyDescent="0.7">
      <c r="A26" s="38">
        <f>SUMBER!A5</f>
        <v>5</v>
      </c>
      <c r="B26" s="39" t="s">
        <v>35</v>
      </c>
      <c r="C26" s="40"/>
      <c r="D26" s="41" t="str">
        <f>SUMBER!D5</f>
        <v>FRONT RAIL</v>
      </c>
      <c r="E26" s="42"/>
      <c r="F26" s="43"/>
      <c r="G26" s="44"/>
      <c r="H26" s="43"/>
      <c r="I26" s="45"/>
      <c r="J26" s="46"/>
      <c r="K26" s="46"/>
      <c r="L26" s="46">
        <f>SUMBER!E5</f>
        <v>25</v>
      </c>
      <c r="M26" s="46">
        <f>SUMBER!F5</f>
        <v>38</v>
      </c>
      <c r="N26" s="46">
        <f>SUMBER!G5</f>
        <v>509.5</v>
      </c>
      <c r="O26" s="46">
        <f>SUMBER!C5</f>
        <v>1</v>
      </c>
      <c r="P26" s="47"/>
      <c r="Q26" s="48"/>
      <c r="R26" s="49" t="str">
        <f>SUMBER!H5</f>
        <v>SL.Mahoni</v>
      </c>
      <c r="S26" s="147"/>
      <c r="T26" s="194"/>
    </row>
    <row r="27" spans="1:20" s="37" customFormat="1" ht="40" customHeight="1" x14ac:dyDescent="0.7">
      <c r="A27" s="148" t="s">
        <v>41</v>
      </c>
      <c r="B27" s="51" t="s">
        <v>36</v>
      </c>
      <c r="C27" s="52"/>
      <c r="D27" s="53" t="s">
        <v>43</v>
      </c>
      <c r="E27" s="54">
        <v>2</v>
      </c>
      <c r="F27" s="55">
        <f>L27+E27</f>
        <v>27</v>
      </c>
      <c r="G27" s="56">
        <v>5</v>
      </c>
      <c r="H27" s="57">
        <f>G27+M27</f>
        <v>43</v>
      </c>
      <c r="I27" s="58">
        <v>10</v>
      </c>
      <c r="J27" s="59">
        <f>I27+N27</f>
        <v>519.5</v>
      </c>
      <c r="K27" s="59"/>
      <c r="L27" s="59">
        <f>L26</f>
        <v>25</v>
      </c>
      <c r="M27" s="267">
        <f>M26</f>
        <v>38</v>
      </c>
      <c r="N27" s="59">
        <f>N26</f>
        <v>509.5</v>
      </c>
      <c r="O27" s="59">
        <f>O26</f>
        <v>1</v>
      </c>
      <c r="P27" s="59">
        <f>O27*F$8</f>
        <v>1</v>
      </c>
      <c r="Q27" s="60">
        <f>P27*J27*H27*F27/1000000000</f>
        <v>6.0313949999999999E-4</v>
      </c>
      <c r="R27" s="61" t="str">
        <f>R26</f>
        <v>SL.Mahoni</v>
      </c>
      <c r="S27" s="62"/>
      <c r="T27" s="50"/>
    </row>
    <row r="28" spans="1:20" s="37" customFormat="1" ht="10" customHeight="1" x14ac:dyDescent="0.7">
      <c r="A28" s="38"/>
      <c r="B28" s="51"/>
      <c r="C28" s="122"/>
      <c r="D28" s="123"/>
      <c r="E28" s="56"/>
      <c r="F28" s="55"/>
      <c r="G28" s="56"/>
      <c r="H28" s="57"/>
      <c r="I28" s="58"/>
      <c r="J28" s="59"/>
      <c r="K28" s="59"/>
      <c r="L28" s="59"/>
      <c r="M28" s="59"/>
      <c r="N28" s="59"/>
      <c r="O28" s="59"/>
      <c r="P28" s="59"/>
      <c r="Q28" s="59"/>
      <c r="R28" s="60"/>
      <c r="S28" s="124"/>
      <c r="T28" s="36"/>
    </row>
    <row r="29" spans="1:20" s="37" customFormat="1" ht="60" customHeight="1" x14ac:dyDescent="0.7">
      <c r="A29" s="38">
        <f>SUMBER!A6</f>
        <v>6</v>
      </c>
      <c r="B29" s="39" t="s">
        <v>35</v>
      </c>
      <c r="C29" s="40"/>
      <c r="D29" s="41" t="str">
        <f>SUMBER!D6</f>
        <v>SIDE RAIL L</v>
      </c>
      <c r="E29" s="42"/>
      <c r="F29" s="43"/>
      <c r="G29" s="44"/>
      <c r="H29" s="43"/>
      <c r="I29" s="45"/>
      <c r="J29" s="46"/>
      <c r="K29" s="46"/>
      <c r="L29" s="46">
        <f>SUMBER!E6</f>
        <v>32.5</v>
      </c>
      <c r="M29" s="46">
        <f>SUMBER!F6</f>
        <v>38</v>
      </c>
      <c r="N29" s="46">
        <f>SUMBER!G6</f>
        <v>450.5</v>
      </c>
      <c r="O29" s="46">
        <f>SUMBER!C6</f>
        <v>1</v>
      </c>
      <c r="P29" s="47"/>
      <c r="Q29" s="48"/>
      <c r="R29" s="49" t="str">
        <f>SUMBER!H6</f>
        <v>SL.Mahoni</v>
      </c>
      <c r="S29" s="147"/>
      <c r="T29" s="194"/>
    </row>
    <row r="30" spans="1:20" s="37" customFormat="1" ht="40" customHeight="1" x14ac:dyDescent="0.7">
      <c r="A30" s="148" t="s">
        <v>41</v>
      </c>
      <c r="B30" s="51" t="s">
        <v>36</v>
      </c>
      <c r="C30" s="52"/>
      <c r="D30" s="53" t="s">
        <v>43</v>
      </c>
      <c r="E30" s="54">
        <v>2</v>
      </c>
      <c r="F30" s="55">
        <f>L30+E30</f>
        <v>34.5</v>
      </c>
      <c r="G30" s="56">
        <v>5</v>
      </c>
      <c r="H30" s="57">
        <f>G30+M30</f>
        <v>43</v>
      </c>
      <c r="I30" s="58">
        <v>10</v>
      </c>
      <c r="J30" s="59">
        <f>I30+N30</f>
        <v>460.5</v>
      </c>
      <c r="K30" s="59"/>
      <c r="L30" s="59">
        <f>L29</f>
        <v>32.5</v>
      </c>
      <c r="M30" s="267">
        <f>M29</f>
        <v>38</v>
      </c>
      <c r="N30" s="59">
        <f>N29</f>
        <v>450.5</v>
      </c>
      <c r="O30" s="59">
        <f>O29</f>
        <v>1</v>
      </c>
      <c r="P30" s="59">
        <f>O30*F$8</f>
        <v>1</v>
      </c>
      <c r="Q30" s="60">
        <f>P30*J30*H30*F30/1000000000</f>
        <v>6.8315175000000004E-4</v>
      </c>
      <c r="R30" s="61" t="str">
        <f>R29</f>
        <v>SL.Mahoni</v>
      </c>
      <c r="S30" s="62"/>
      <c r="T30" s="50"/>
    </row>
    <row r="31" spans="1:20" s="37" customFormat="1" ht="10" customHeight="1" x14ac:dyDescent="0.7">
      <c r="A31" s="38"/>
      <c r="B31" s="51"/>
      <c r="C31" s="122"/>
      <c r="D31" s="123"/>
      <c r="E31" s="56"/>
      <c r="F31" s="55"/>
      <c r="G31" s="56"/>
      <c r="H31" s="57"/>
      <c r="I31" s="58"/>
      <c r="J31" s="59"/>
      <c r="K31" s="59"/>
      <c r="L31" s="59"/>
      <c r="M31" s="59"/>
      <c r="N31" s="59"/>
      <c r="O31" s="59"/>
      <c r="P31" s="59"/>
      <c r="Q31" s="59"/>
      <c r="R31" s="60"/>
      <c r="S31" s="124"/>
      <c r="T31" s="36"/>
    </row>
    <row r="32" spans="1:20" s="37" customFormat="1" ht="60" customHeight="1" x14ac:dyDescent="0.7">
      <c r="A32" s="38">
        <f>SUMBER!A7</f>
        <v>7</v>
      </c>
      <c r="B32" s="39" t="s">
        <v>35</v>
      </c>
      <c r="C32" s="40"/>
      <c r="D32" s="41" t="str">
        <f>SUMBER!D7</f>
        <v>SIDE RAIL R</v>
      </c>
      <c r="E32" s="42"/>
      <c r="F32" s="43"/>
      <c r="G32" s="44"/>
      <c r="H32" s="43"/>
      <c r="I32" s="45"/>
      <c r="J32" s="46"/>
      <c r="K32" s="46"/>
      <c r="L32" s="46">
        <f>SUMBER!E7</f>
        <v>32.5</v>
      </c>
      <c r="M32" s="46">
        <f>SUMBER!F7</f>
        <v>38</v>
      </c>
      <c r="N32" s="46">
        <f>SUMBER!G7</f>
        <v>450.5</v>
      </c>
      <c r="O32" s="46">
        <f>SUMBER!C7</f>
        <v>1</v>
      </c>
      <c r="P32" s="47"/>
      <c r="Q32" s="48"/>
      <c r="R32" s="49" t="str">
        <f>SUMBER!H7</f>
        <v>SL.Mahoni</v>
      </c>
      <c r="S32" s="147"/>
      <c r="T32" s="194"/>
    </row>
    <row r="33" spans="1:20" s="37" customFormat="1" ht="40" customHeight="1" x14ac:dyDescent="0.7">
      <c r="A33" s="148" t="s">
        <v>41</v>
      </c>
      <c r="B33" s="51" t="s">
        <v>36</v>
      </c>
      <c r="C33" s="52"/>
      <c r="D33" s="53" t="s">
        <v>43</v>
      </c>
      <c r="E33" s="54">
        <v>2</v>
      </c>
      <c r="F33" s="55">
        <f>L33+E33</f>
        <v>34.5</v>
      </c>
      <c r="G33" s="56">
        <v>5</v>
      </c>
      <c r="H33" s="57">
        <f>G33+M33</f>
        <v>43</v>
      </c>
      <c r="I33" s="58">
        <v>10</v>
      </c>
      <c r="J33" s="59">
        <f>I33+N33</f>
        <v>460.5</v>
      </c>
      <c r="K33" s="59"/>
      <c r="L33" s="59">
        <f>L32</f>
        <v>32.5</v>
      </c>
      <c r="M33" s="267">
        <f>M32</f>
        <v>38</v>
      </c>
      <c r="N33" s="59">
        <f>N32</f>
        <v>450.5</v>
      </c>
      <c r="O33" s="59">
        <f>O32</f>
        <v>1</v>
      </c>
      <c r="P33" s="59">
        <f>O33*F$8</f>
        <v>1</v>
      </c>
      <c r="Q33" s="60">
        <f>P33*J33*H33*F33/1000000000</f>
        <v>6.8315175000000004E-4</v>
      </c>
      <c r="R33" s="61" t="str">
        <f>R32</f>
        <v>SL.Mahoni</v>
      </c>
      <c r="S33" s="62"/>
      <c r="T33" s="50"/>
    </row>
    <row r="34" spans="1:20" s="37" customFormat="1" ht="10" customHeight="1" x14ac:dyDescent="0.7">
      <c r="A34" s="38"/>
      <c r="B34" s="51"/>
      <c r="C34" s="122"/>
      <c r="D34" s="123"/>
      <c r="E34" s="56"/>
      <c r="F34" s="55"/>
      <c r="G34" s="56"/>
      <c r="H34" s="57"/>
      <c r="I34" s="58"/>
      <c r="J34" s="59"/>
      <c r="K34" s="59"/>
      <c r="L34" s="59"/>
      <c r="M34" s="59"/>
      <c r="N34" s="59"/>
      <c r="O34" s="59"/>
      <c r="P34" s="59"/>
      <c r="Q34" s="59"/>
      <c r="R34" s="60"/>
      <c r="S34" s="124"/>
      <c r="T34" s="36"/>
    </row>
    <row r="35" spans="1:20" s="37" customFormat="1" ht="60" customHeight="1" x14ac:dyDescent="0.7">
      <c r="A35" s="38">
        <f>SUMBER!A8</f>
        <v>8</v>
      </c>
      <c r="B35" s="39" t="s">
        <v>35</v>
      </c>
      <c r="C35" s="40"/>
      <c r="D35" s="41" t="str">
        <f>SUMBER!D8</f>
        <v>BACK RAIL</v>
      </c>
      <c r="E35" s="42"/>
      <c r="F35" s="43"/>
      <c r="G35" s="44"/>
      <c r="H35" s="43"/>
      <c r="I35" s="45"/>
      <c r="J35" s="46"/>
      <c r="K35" s="46"/>
      <c r="L35" s="46">
        <f>SUMBER!E8</f>
        <v>38</v>
      </c>
      <c r="M35" s="46">
        <f>SUMBER!F8</f>
        <v>59.5</v>
      </c>
      <c r="N35" s="46">
        <f>SUMBER!G8</f>
        <v>422</v>
      </c>
      <c r="O35" s="46">
        <f>SUMBER!C8</f>
        <v>1</v>
      </c>
      <c r="P35" s="47"/>
      <c r="Q35" s="48"/>
      <c r="R35" s="49" t="str">
        <f>SUMBER!H8</f>
        <v>SL.Mahoni</v>
      </c>
      <c r="S35" s="147"/>
      <c r="T35" s="265"/>
    </row>
    <row r="36" spans="1:20" s="37" customFormat="1" ht="40" customHeight="1" x14ac:dyDescent="0.7">
      <c r="A36" s="148" t="s">
        <v>41</v>
      </c>
      <c r="B36" s="51" t="s">
        <v>36</v>
      </c>
      <c r="C36" s="52"/>
      <c r="D36" s="53" t="s">
        <v>43</v>
      </c>
      <c r="E36" s="275">
        <v>2</v>
      </c>
      <c r="F36" s="55">
        <f>L36+E36</f>
        <v>40</v>
      </c>
      <c r="G36" s="56">
        <v>5</v>
      </c>
      <c r="H36" s="57">
        <f>G36+M36</f>
        <v>64.5</v>
      </c>
      <c r="I36" s="58">
        <v>10</v>
      </c>
      <c r="J36" s="59">
        <f>I36+N36</f>
        <v>432</v>
      </c>
      <c r="K36" s="59"/>
      <c r="L36" s="59">
        <f>L35</f>
        <v>38</v>
      </c>
      <c r="M36" s="267">
        <f>M35</f>
        <v>59.5</v>
      </c>
      <c r="N36" s="59">
        <f>N35</f>
        <v>422</v>
      </c>
      <c r="O36" s="59">
        <f>O35</f>
        <v>1</v>
      </c>
      <c r="P36" s="59">
        <f>O36*F$8</f>
        <v>1</v>
      </c>
      <c r="Q36" s="60">
        <f>P36*J36*H36*F36/1000000000</f>
        <v>1.1145599999999999E-3</v>
      </c>
      <c r="R36" s="61" t="str">
        <f>R35</f>
        <v>SL.Mahoni</v>
      </c>
      <c r="S36" s="62"/>
      <c r="T36" s="50"/>
    </row>
    <row r="37" spans="1:20" s="37" customFormat="1" ht="10" customHeight="1" x14ac:dyDescent="0.7">
      <c r="A37" s="38"/>
      <c r="B37" s="51"/>
      <c r="C37" s="122"/>
      <c r="D37" s="123"/>
      <c r="E37" s="56"/>
      <c r="F37" s="55"/>
      <c r="G37" s="56"/>
      <c r="H37" s="57"/>
      <c r="I37" s="58"/>
      <c r="J37" s="59"/>
      <c r="K37" s="59"/>
      <c r="L37" s="59"/>
      <c r="M37" s="59"/>
      <c r="N37" s="59"/>
      <c r="O37" s="59"/>
      <c r="P37" s="59"/>
      <c r="Q37" s="59"/>
      <c r="R37" s="60"/>
      <c r="S37" s="124"/>
      <c r="T37" s="36"/>
    </row>
    <row r="38" spans="1:20" s="37" customFormat="1" ht="80.150000000000006" customHeight="1" x14ac:dyDescent="0.9">
      <c r="A38" s="38">
        <f>SUMBER!A9</f>
        <v>9</v>
      </c>
      <c r="B38" s="39" t="s">
        <v>35</v>
      </c>
      <c r="C38" s="40"/>
      <c r="D38" s="41" t="str">
        <f>SUMBER!D9</f>
        <v>STRETCHER SIDE 1 L</v>
      </c>
      <c r="E38" s="42"/>
      <c r="F38" s="43"/>
      <c r="G38" s="44"/>
      <c r="H38" s="43"/>
      <c r="I38" s="45"/>
      <c r="J38" s="46"/>
      <c r="K38" s="46"/>
      <c r="L38" s="46">
        <f>SUMBER!E9</f>
        <v>23</v>
      </c>
      <c r="M38" s="46">
        <f>SUMBER!F9</f>
        <v>23</v>
      </c>
      <c r="N38" s="46">
        <f>SUMBER!G9</f>
        <v>515.5</v>
      </c>
      <c r="O38" s="46">
        <f>SUMBER!C9</f>
        <v>1</v>
      </c>
      <c r="P38" s="47"/>
      <c r="Q38" s="48"/>
      <c r="R38" s="49" t="str">
        <f>SUMBER!H9</f>
        <v>SL. Mahoni</v>
      </c>
      <c r="S38" s="252"/>
      <c r="T38" s="251"/>
    </row>
    <row r="39" spans="1:20" s="37" customFormat="1" ht="40" customHeight="1" x14ac:dyDescent="0.7">
      <c r="A39" s="148" t="s">
        <v>41</v>
      </c>
      <c r="B39" s="51" t="s">
        <v>36</v>
      </c>
      <c r="C39" s="52"/>
      <c r="D39" s="53" t="s">
        <v>43</v>
      </c>
      <c r="E39" s="54">
        <v>5</v>
      </c>
      <c r="F39" s="55">
        <f>L39+E39</f>
        <v>28</v>
      </c>
      <c r="G39" s="56">
        <v>5</v>
      </c>
      <c r="H39" s="57">
        <f>G39+M39</f>
        <v>28</v>
      </c>
      <c r="I39" s="58">
        <v>10</v>
      </c>
      <c r="J39" s="59">
        <f>I39+N39</f>
        <v>525.5</v>
      </c>
      <c r="K39" s="59"/>
      <c r="L39" s="59">
        <f>L38</f>
        <v>23</v>
      </c>
      <c r="M39" s="267">
        <f>M38</f>
        <v>23</v>
      </c>
      <c r="N39" s="59">
        <f>N38</f>
        <v>515.5</v>
      </c>
      <c r="O39" s="59">
        <f>O38</f>
        <v>1</v>
      </c>
      <c r="P39" s="59">
        <f>O39*F$8</f>
        <v>1</v>
      </c>
      <c r="Q39" s="60">
        <f>P39*J39*H39*F39/1000000000</f>
        <v>4.1199200000000002E-4</v>
      </c>
      <c r="R39" s="61" t="str">
        <f>R38</f>
        <v>SL. Mahoni</v>
      </c>
      <c r="S39" s="62"/>
      <c r="T39" s="50"/>
    </row>
    <row r="40" spans="1:20" s="37" customFormat="1" ht="10" customHeight="1" x14ac:dyDescent="0.7">
      <c r="A40" s="38"/>
      <c r="B40" s="51"/>
      <c r="C40" s="122"/>
      <c r="D40" s="123"/>
      <c r="E40" s="56"/>
      <c r="F40" s="55"/>
      <c r="G40" s="56"/>
      <c r="H40" s="57"/>
      <c r="I40" s="58"/>
      <c r="J40" s="59"/>
      <c r="K40" s="59"/>
      <c r="L40" s="59"/>
      <c r="M40" s="59"/>
      <c r="N40" s="59"/>
      <c r="O40" s="59"/>
      <c r="P40" s="59"/>
      <c r="Q40" s="59"/>
      <c r="R40" s="60"/>
      <c r="S40" s="124"/>
      <c r="T40" s="36"/>
    </row>
    <row r="41" spans="1:20" s="37" customFormat="1" ht="60" customHeight="1" x14ac:dyDescent="0.7">
      <c r="A41" s="38">
        <f>SUMBER!A10</f>
        <v>10</v>
      </c>
      <c r="B41" s="39" t="s">
        <v>35</v>
      </c>
      <c r="C41" s="40"/>
      <c r="D41" s="41" t="str">
        <f>SUMBER!D10</f>
        <v>STRETCHER SIDE 2 L</v>
      </c>
      <c r="E41" s="42"/>
      <c r="F41" s="43"/>
      <c r="G41" s="44"/>
      <c r="H41" s="43"/>
      <c r="I41" s="45"/>
      <c r="J41" s="46"/>
      <c r="K41" s="46"/>
      <c r="L41" s="46">
        <f>SUMBER!E10</f>
        <v>23</v>
      </c>
      <c r="M41" s="46">
        <f>SUMBER!F10</f>
        <v>23</v>
      </c>
      <c r="N41" s="46">
        <f>SUMBER!G10</f>
        <v>456.5</v>
      </c>
      <c r="O41" s="46">
        <f>SUMBER!C10</f>
        <v>1</v>
      </c>
      <c r="P41" s="47"/>
      <c r="Q41" s="48"/>
      <c r="R41" s="49" t="str">
        <f>SUMBER!H10</f>
        <v>SL. Mahoni</v>
      </c>
      <c r="S41" s="147"/>
      <c r="T41" s="194"/>
    </row>
    <row r="42" spans="1:20" s="37" customFormat="1" ht="40" customHeight="1" x14ac:dyDescent="0.7">
      <c r="A42" s="148" t="s">
        <v>41</v>
      </c>
      <c r="B42" s="51" t="s">
        <v>36</v>
      </c>
      <c r="C42" s="52"/>
      <c r="D42" s="53" t="s">
        <v>43</v>
      </c>
      <c r="E42" s="54">
        <v>5</v>
      </c>
      <c r="F42" s="55">
        <f>L42+E42</f>
        <v>28</v>
      </c>
      <c r="G42" s="56">
        <v>5</v>
      </c>
      <c r="H42" s="57">
        <f>G42+M42</f>
        <v>28</v>
      </c>
      <c r="I42" s="58">
        <v>10</v>
      </c>
      <c r="J42" s="59">
        <f>I42+N42</f>
        <v>466.5</v>
      </c>
      <c r="K42" s="59"/>
      <c r="L42" s="59">
        <f>L41</f>
        <v>23</v>
      </c>
      <c r="M42" s="267">
        <f>M41</f>
        <v>23</v>
      </c>
      <c r="N42" s="59">
        <f>N41</f>
        <v>456.5</v>
      </c>
      <c r="O42" s="59">
        <f>O41</f>
        <v>1</v>
      </c>
      <c r="P42" s="59">
        <f>O42*F$8</f>
        <v>1</v>
      </c>
      <c r="Q42" s="60">
        <f>P42*J42*H42*F42/1000000000</f>
        <v>3.6573600000000002E-4</v>
      </c>
      <c r="R42" s="61" t="str">
        <f>R41</f>
        <v>SL. Mahoni</v>
      </c>
      <c r="S42" s="62"/>
      <c r="T42" s="50"/>
    </row>
    <row r="43" spans="1:20" s="37" customFormat="1" ht="10" customHeight="1" x14ac:dyDescent="0.7">
      <c r="A43" s="38"/>
      <c r="B43" s="51"/>
      <c r="C43" s="122"/>
      <c r="D43" s="123"/>
      <c r="E43" s="56"/>
      <c r="F43" s="55"/>
      <c r="G43" s="56"/>
      <c r="H43" s="57"/>
      <c r="I43" s="58"/>
      <c r="J43" s="59"/>
      <c r="K43" s="59"/>
      <c r="L43" s="59"/>
      <c r="M43" s="59"/>
      <c r="N43" s="59"/>
      <c r="O43" s="59"/>
      <c r="P43" s="59"/>
      <c r="Q43" s="59"/>
      <c r="R43" s="60"/>
      <c r="S43" s="124"/>
      <c r="T43" s="36"/>
    </row>
    <row r="44" spans="1:20" s="37" customFormat="1" ht="60" customHeight="1" x14ac:dyDescent="0.7">
      <c r="A44" s="38">
        <f>SUMBER!A11</f>
        <v>11</v>
      </c>
      <c r="B44" s="39" t="s">
        <v>35</v>
      </c>
      <c r="C44" s="40"/>
      <c r="D44" s="41" t="str">
        <f>SUMBER!D11</f>
        <v>STRETCHER SIDE 1 R</v>
      </c>
      <c r="E44" s="42"/>
      <c r="F44" s="43"/>
      <c r="G44" s="44"/>
      <c r="H44" s="43"/>
      <c r="I44" s="45"/>
      <c r="J44" s="46"/>
      <c r="K44" s="46"/>
      <c r="L44" s="46">
        <f>SUMBER!E11</f>
        <v>23</v>
      </c>
      <c r="M44" s="46">
        <f>SUMBER!F11</f>
        <v>23</v>
      </c>
      <c r="N44" s="46">
        <f>SUMBER!G11</f>
        <v>515.5</v>
      </c>
      <c r="O44" s="46">
        <f>SUMBER!C11</f>
        <v>1</v>
      </c>
      <c r="P44" s="47"/>
      <c r="Q44" s="48"/>
      <c r="R44" s="49" t="str">
        <f>SUMBER!H11</f>
        <v>SL. Mahoni</v>
      </c>
      <c r="S44" s="147"/>
      <c r="T44" s="194"/>
    </row>
    <row r="45" spans="1:20" s="37" customFormat="1" ht="40" customHeight="1" x14ac:dyDescent="0.7">
      <c r="A45" s="148" t="s">
        <v>41</v>
      </c>
      <c r="B45" s="51" t="s">
        <v>36</v>
      </c>
      <c r="C45" s="52"/>
      <c r="D45" s="53" t="s">
        <v>43</v>
      </c>
      <c r="E45" s="54">
        <v>5</v>
      </c>
      <c r="F45" s="55">
        <f>L45+E45</f>
        <v>28</v>
      </c>
      <c r="G45" s="56">
        <v>5</v>
      </c>
      <c r="H45" s="57">
        <f>G45+M45</f>
        <v>28</v>
      </c>
      <c r="I45" s="58">
        <v>10</v>
      </c>
      <c r="J45" s="59">
        <f>I45+N45</f>
        <v>525.5</v>
      </c>
      <c r="K45" s="59"/>
      <c r="L45" s="59">
        <f>L44</f>
        <v>23</v>
      </c>
      <c r="M45" s="267">
        <f>M44</f>
        <v>23</v>
      </c>
      <c r="N45" s="59">
        <f>N44</f>
        <v>515.5</v>
      </c>
      <c r="O45" s="59">
        <f>O44</f>
        <v>1</v>
      </c>
      <c r="P45" s="59">
        <f>O45*F$8</f>
        <v>1</v>
      </c>
      <c r="Q45" s="60">
        <f>P45*J45*H45*F45/1000000000</f>
        <v>4.1199200000000002E-4</v>
      </c>
      <c r="R45" s="61" t="str">
        <f>R44</f>
        <v>SL. Mahoni</v>
      </c>
      <c r="S45" s="62"/>
      <c r="T45" s="50"/>
    </row>
    <row r="46" spans="1:20" s="37" customFormat="1" ht="10" customHeight="1" x14ac:dyDescent="0.7">
      <c r="A46" s="38"/>
      <c r="B46" s="51"/>
      <c r="C46" s="122"/>
      <c r="D46" s="123"/>
      <c r="E46" s="56"/>
      <c r="F46" s="55"/>
      <c r="G46" s="56"/>
      <c r="H46" s="57"/>
      <c r="I46" s="58"/>
      <c r="J46" s="59"/>
      <c r="K46" s="59"/>
      <c r="L46" s="59"/>
      <c r="M46" s="59"/>
      <c r="N46" s="59"/>
      <c r="O46" s="59"/>
      <c r="P46" s="59"/>
      <c r="Q46" s="59"/>
      <c r="R46" s="60"/>
      <c r="S46" s="124"/>
      <c r="T46" s="36"/>
    </row>
    <row r="47" spans="1:20" s="37" customFormat="1" ht="60" customHeight="1" x14ac:dyDescent="0.9">
      <c r="A47" s="38">
        <f>SUMBER!A12</f>
        <v>12</v>
      </c>
      <c r="B47" s="39" t="s">
        <v>35</v>
      </c>
      <c r="C47" s="40"/>
      <c r="D47" s="41" t="str">
        <f>SUMBER!D12</f>
        <v>STRETCHER SIDE 2 R</v>
      </c>
      <c r="E47" s="42"/>
      <c r="F47" s="43"/>
      <c r="G47" s="44"/>
      <c r="H47" s="43"/>
      <c r="I47" s="45"/>
      <c r="J47" s="46"/>
      <c r="K47" s="46"/>
      <c r="L47" s="46">
        <f>SUMBER!E12</f>
        <v>23</v>
      </c>
      <c r="M47" s="46">
        <f>SUMBER!F12</f>
        <v>23</v>
      </c>
      <c r="N47" s="46">
        <f>SUMBER!G12</f>
        <v>456.5</v>
      </c>
      <c r="O47" s="46">
        <f>SUMBER!C12</f>
        <v>1</v>
      </c>
      <c r="P47" s="47"/>
      <c r="Q47" s="48"/>
      <c r="R47" s="49" t="str">
        <f>SUMBER!H12</f>
        <v>SL. Mahoni</v>
      </c>
      <c r="S47" s="147"/>
      <c r="T47" s="251"/>
    </row>
    <row r="48" spans="1:20" s="37" customFormat="1" ht="40" customHeight="1" x14ac:dyDescent="0.7">
      <c r="A48" s="148" t="s">
        <v>41</v>
      </c>
      <c r="B48" s="51" t="s">
        <v>36</v>
      </c>
      <c r="C48" s="52"/>
      <c r="D48" s="53" t="s">
        <v>43</v>
      </c>
      <c r="E48" s="54">
        <v>5</v>
      </c>
      <c r="F48" s="55">
        <f>L48+E48</f>
        <v>28</v>
      </c>
      <c r="G48" s="56">
        <v>5</v>
      </c>
      <c r="H48" s="57">
        <f>G48+M48</f>
        <v>28</v>
      </c>
      <c r="I48" s="58">
        <v>10</v>
      </c>
      <c r="J48" s="59">
        <f>I48+N48</f>
        <v>466.5</v>
      </c>
      <c r="K48" s="59"/>
      <c r="L48" s="59">
        <f>L47</f>
        <v>23</v>
      </c>
      <c r="M48" s="267">
        <f>M47</f>
        <v>23</v>
      </c>
      <c r="N48" s="59">
        <f>N47</f>
        <v>456.5</v>
      </c>
      <c r="O48" s="59">
        <f>O47</f>
        <v>1</v>
      </c>
      <c r="P48" s="59">
        <f>O48*F$8</f>
        <v>1</v>
      </c>
      <c r="Q48" s="60">
        <f>P48*J48*H48*F48/1000000000</f>
        <v>3.6573600000000002E-4</v>
      </c>
      <c r="R48" s="61" t="str">
        <f>R47</f>
        <v>SL. Mahoni</v>
      </c>
      <c r="S48" s="62"/>
      <c r="T48" s="50"/>
    </row>
    <row r="49" spans="1:20" s="37" customFormat="1" ht="10" customHeight="1" x14ac:dyDescent="0.7">
      <c r="A49" s="38"/>
      <c r="B49" s="51"/>
      <c r="C49" s="122"/>
      <c r="D49" s="123"/>
      <c r="E49" s="56"/>
      <c r="F49" s="55"/>
      <c r="G49" s="56"/>
      <c r="H49" s="57"/>
      <c r="I49" s="58"/>
      <c r="J49" s="59"/>
      <c r="K49" s="59"/>
      <c r="L49" s="59"/>
      <c r="M49" s="59"/>
      <c r="N49" s="59"/>
      <c r="O49" s="59"/>
      <c r="P49" s="59"/>
      <c r="Q49" s="59"/>
      <c r="R49" s="60"/>
      <c r="S49" s="124"/>
      <c r="T49" s="36"/>
    </row>
    <row r="50" spans="1:20" s="37" customFormat="1" ht="60" customHeight="1" x14ac:dyDescent="0.9">
      <c r="A50" s="38">
        <f>SUMBER!A13</f>
        <v>13</v>
      </c>
      <c r="B50" s="39" t="s">
        <v>35</v>
      </c>
      <c r="C50" s="40"/>
      <c r="D50" s="41" t="str">
        <f>SUMBER!D13</f>
        <v>FRAME BACK REST 1</v>
      </c>
      <c r="E50" s="42"/>
      <c r="F50" s="43"/>
      <c r="G50" s="44"/>
      <c r="H50" s="43"/>
      <c r="I50" s="45"/>
      <c r="J50" s="46"/>
      <c r="K50" s="46"/>
      <c r="L50" s="46">
        <f>SUMBER!E13</f>
        <v>23</v>
      </c>
      <c r="M50" s="46">
        <f>SUMBER!F13</f>
        <v>50.5</v>
      </c>
      <c r="N50" s="46">
        <f>SUMBER!G13</f>
        <v>444.5</v>
      </c>
      <c r="O50" s="46">
        <f>SUMBER!C13</f>
        <v>1</v>
      </c>
      <c r="P50" s="47"/>
      <c r="Q50" s="48"/>
      <c r="R50" s="49" t="str">
        <f>SUMBER!H13</f>
        <v>SL.Mahoni</v>
      </c>
      <c r="S50" s="147"/>
      <c r="T50" s="251"/>
    </row>
    <row r="51" spans="1:20" s="37" customFormat="1" ht="40" customHeight="1" x14ac:dyDescent="0.7">
      <c r="A51" s="148" t="s">
        <v>41</v>
      </c>
      <c r="B51" s="51" t="s">
        <v>36</v>
      </c>
      <c r="C51" s="52"/>
      <c r="D51" s="53" t="s">
        <v>43</v>
      </c>
      <c r="E51" s="54">
        <v>5</v>
      </c>
      <c r="F51" s="55">
        <f>L51+E51</f>
        <v>28</v>
      </c>
      <c r="G51" s="56">
        <v>5</v>
      </c>
      <c r="H51" s="57">
        <f>G51+M51</f>
        <v>55.5</v>
      </c>
      <c r="I51" s="58">
        <v>10</v>
      </c>
      <c r="J51" s="59">
        <f>I51+N51</f>
        <v>454.5</v>
      </c>
      <c r="K51" s="59"/>
      <c r="L51" s="59">
        <f>L50</f>
        <v>23</v>
      </c>
      <c r="M51" s="267">
        <f>M50</f>
        <v>50.5</v>
      </c>
      <c r="N51" s="59">
        <f>N50</f>
        <v>444.5</v>
      </c>
      <c r="O51" s="59">
        <f>O50</f>
        <v>1</v>
      </c>
      <c r="P51" s="59">
        <f>O51*F$8</f>
        <v>1</v>
      </c>
      <c r="Q51" s="60">
        <f>P51*J51*H51*F51/1000000000</f>
        <v>7.0629299999999998E-4</v>
      </c>
      <c r="R51" s="61" t="str">
        <f>R50</f>
        <v>SL.Mahoni</v>
      </c>
      <c r="S51" s="62"/>
      <c r="T51" s="50"/>
    </row>
    <row r="52" spans="1:20" s="37" customFormat="1" ht="10" customHeight="1" x14ac:dyDescent="0.7">
      <c r="A52" s="38"/>
      <c r="B52" s="51"/>
      <c r="C52" s="122"/>
      <c r="D52" s="123"/>
      <c r="E52" s="56"/>
      <c r="F52" s="55"/>
      <c r="G52" s="56"/>
      <c r="H52" s="57"/>
      <c r="I52" s="58"/>
      <c r="J52" s="59"/>
      <c r="K52" s="59"/>
      <c r="L52" s="59"/>
      <c r="M52" s="59"/>
      <c r="N52" s="59"/>
      <c r="O52" s="59"/>
      <c r="P52" s="59"/>
      <c r="Q52" s="59"/>
      <c r="R52" s="60"/>
      <c r="S52" s="124"/>
      <c r="T52" s="36"/>
    </row>
    <row r="53" spans="1:20" s="37" customFormat="1" ht="60" customHeight="1" x14ac:dyDescent="0.9">
      <c r="A53" s="38">
        <f>SUMBER!A14</f>
        <v>14</v>
      </c>
      <c r="B53" s="39" t="s">
        <v>35</v>
      </c>
      <c r="C53" s="40"/>
      <c r="D53" s="41" t="str">
        <f>SUMBER!D14</f>
        <v>FRAME BACK REST 2</v>
      </c>
      <c r="E53" s="42"/>
      <c r="F53" s="43"/>
      <c r="G53" s="44"/>
      <c r="H53" s="43"/>
      <c r="I53" s="45"/>
      <c r="J53" s="46"/>
      <c r="K53" s="46"/>
      <c r="L53" s="46">
        <f>SUMBER!E14</f>
        <v>26</v>
      </c>
      <c r="M53" s="46">
        <f>SUMBER!F14</f>
        <v>68</v>
      </c>
      <c r="N53" s="46">
        <f>SUMBER!G14</f>
        <v>433</v>
      </c>
      <c r="O53" s="46">
        <f>SUMBER!C14</f>
        <v>1</v>
      </c>
      <c r="P53" s="47"/>
      <c r="Q53" s="48"/>
      <c r="R53" s="49" t="str">
        <f>SUMBER!H14</f>
        <v>SL. Mahoni</v>
      </c>
      <c r="S53" s="147"/>
      <c r="T53" s="251"/>
    </row>
    <row r="54" spans="1:20" s="37" customFormat="1" ht="40" customHeight="1" x14ac:dyDescent="0.7">
      <c r="A54" s="148" t="s">
        <v>41</v>
      </c>
      <c r="B54" s="51" t="s">
        <v>36</v>
      </c>
      <c r="C54" s="52"/>
      <c r="D54" s="53" t="s">
        <v>43</v>
      </c>
      <c r="E54" s="56">
        <v>5</v>
      </c>
      <c r="F54" s="55">
        <f>L54+E54</f>
        <v>31</v>
      </c>
      <c r="G54" s="56">
        <v>5</v>
      </c>
      <c r="H54" s="57">
        <f>G54+M54</f>
        <v>73</v>
      </c>
      <c r="I54" s="58">
        <v>40</v>
      </c>
      <c r="J54" s="59">
        <f>I54+N54</f>
        <v>473</v>
      </c>
      <c r="K54" s="59"/>
      <c r="L54" s="59">
        <f>L53</f>
        <v>26</v>
      </c>
      <c r="M54" s="267">
        <f>M53</f>
        <v>68</v>
      </c>
      <c r="N54" s="59">
        <f>N53</f>
        <v>433</v>
      </c>
      <c r="O54" s="59">
        <f>O53</f>
        <v>1</v>
      </c>
      <c r="P54" s="59">
        <f>O54*F$8</f>
        <v>1</v>
      </c>
      <c r="Q54" s="60">
        <f>P54*J54*H54*F54/1000000000</f>
        <v>1.0703990000000001E-3</v>
      </c>
      <c r="R54" s="61" t="str">
        <f>R53</f>
        <v>SL. Mahoni</v>
      </c>
      <c r="S54" s="62"/>
      <c r="T54" s="50"/>
    </row>
    <row r="55" spans="1:20" s="37" customFormat="1" ht="10" customHeight="1" x14ac:dyDescent="0.7">
      <c r="A55" s="38"/>
      <c r="B55" s="51"/>
      <c r="C55" s="122"/>
      <c r="D55" s="123"/>
      <c r="E55" s="56"/>
      <c r="F55" s="55"/>
      <c r="G55" s="56"/>
      <c r="H55" s="57"/>
      <c r="I55" s="58"/>
      <c r="J55" s="59"/>
      <c r="K55" s="59"/>
      <c r="L55" s="59"/>
      <c r="M55" s="59"/>
      <c r="N55" s="59"/>
      <c r="O55" s="59"/>
      <c r="P55" s="59"/>
      <c r="Q55" s="59"/>
      <c r="R55" s="60"/>
      <c r="S55" s="124"/>
      <c r="T55" s="36"/>
    </row>
    <row r="56" spans="1:20" s="37" customFormat="1" ht="60" customHeight="1" x14ac:dyDescent="0.9">
      <c r="A56" s="38">
        <f>SUMBER!A15</f>
        <v>15</v>
      </c>
      <c r="B56" s="39" t="s">
        <v>35</v>
      </c>
      <c r="C56" s="40"/>
      <c r="D56" s="41" t="str">
        <f>SUMBER!D15</f>
        <v>FRAME BACK REST 3</v>
      </c>
      <c r="E56" s="42"/>
      <c r="F56" s="43"/>
      <c r="G56" s="44"/>
      <c r="H56" s="43"/>
      <c r="I56" s="45"/>
      <c r="J56" s="46"/>
      <c r="K56" s="46"/>
      <c r="L56" s="46">
        <f>SUMBER!E15</f>
        <v>26</v>
      </c>
      <c r="M56" s="46">
        <f>SUMBER!F15</f>
        <v>68</v>
      </c>
      <c r="N56" s="46">
        <f>SUMBER!G15</f>
        <v>433</v>
      </c>
      <c r="O56" s="46">
        <f>SUMBER!C15</f>
        <v>1</v>
      </c>
      <c r="P56" s="47"/>
      <c r="Q56" s="48"/>
      <c r="R56" s="49" t="str">
        <f>SUMBER!H15</f>
        <v>SL. Mahoni</v>
      </c>
      <c r="S56" s="147"/>
      <c r="T56" s="251"/>
    </row>
    <row r="57" spans="1:20" s="37" customFormat="1" ht="40" customHeight="1" x14ac:dyDescent="0.7">
      <c r="A57" s="148" t="s">
        <v>41</v>
      </c>
      <c r="B57" s="51" t="s">
        <v>36</v>
      </c>
      <c r="C57" s="52"/>
      <c r="D57" s="53" t="s">
        <v>43</v>
      </c>
      <c r="E57" s="56">
        <v>5</v>
      </c>
      <c r="F57" s="55">
        <f>L57+E57</f>
        <v>31</v>
      </c>
      <c r="G57" s="56">
        <v>5</v>
      </c>
      <c r="H57" s="57">
        <f>G57+M57</f>
        <v>73</v>
      </c>
      <c r="I57" s="58">
        <v>40</v>
      </c>
      <c r="J57" s="59">
        <f>I57+N57</f>
        <v>473</v>
      </c>
      <c r="K57" s="59"/>
      <c r="L57" s="59">
        <f>L56</f>
        <v>26</v>
      </c>
      <c r="M57" s="267">
        <f>M56</f>
        <v>68</v>
      </c>
      <c r="N57" s="59">
        <f>N56</f>
        <v>433</v>
      </c>
      <c r="O57" s="59">
        <f>O56</f>
        <v>1</v>
      </c>
      <c r="P57" s="59">
        <f>O57*F$8</f>
        <v>1</v>
      </c>
      <c r="Q57" s="60">
        <f>P57*J57*H57*F57/1000000000</f>
        <v>1.0703990000000001E-3</v>
      </c>
      <c r="R57" s="61" t="str">
        <f>R56</f>
        <v>SL. Mahoni</v>
      </c>
      <c r="S57" s="62"/>
      <c r="T57" s="50"/>
    </row>
    <row r="58" spans="1:20" s="37" customFormat="1" ht="10" customHeight="1" x14ac:dyDescent="0.7">
      <c r="A58" s="38"/>
      <c r="B58" s="51"/>
      <c r="C58" s="122"/>
      <c r="D58" s="123"/>
      <c r="E58" s="56"/>
      <c r="F58" s="55"/>
      <c r="G58" s="56"/>
      <c r="H58" s="57"/>
      <c r="I58" s="58"/>
      <c r="J58" s="59"/>
      <c r="K58" s="59"/>
      <c r="L58" s="59"/>
      <c r="M58" s="59"/>
      <c r="N58" s="59"/>
      <c r="O58" s="59"/>
      <c r="P58" s="59"/>
      <c r="Q58" s="59"/>
      <c r="R58" s="60"/>
      <c r="S58" s="124"/>
      <c r="T58" s="36"/>
    </row>
    <row r="59" spans="1:20" s="37" customFormat="1" ht="60" customHeight="1" x14ac:dyDescent="0.9">
      <c r="A59" s="38">
        <f>SUMBER!A16</f>
        <v>16</v>
      </c>
      <c r="B59" s="39" t="s">
        <v>35</v>
      </c>
      <c r="C59" s="40"/>
      <c r="D59" s="41" t="str">
        <f>SUMBER!D16</f>
        <v>FRAME BACK REST 4</v>
      </c>
      <c r="E59" s="42"/>
      <c r="F59" s="43"/>
      <c r="G59" s="44"/>
      <c r="H59" s="43"/>
      <c r="I59" s="45"/>
      <c r="J59" s="46"/>
      <c r="K59" s="46"/>
      <c r="L59" s="46">
        <f>SUMBER!E16</f>
        <v>26</v>
      </c>
      <c r="M59" s="46">
        <f>SUMBER!F16</f>
        <v>65</v>
      </c>
      <c r="N59" s="46">
        <f>SUMBER!G16</f>
        <v>433</v>
      </c>
      <c r="O59" s="46">
        <f>SUMBER!C16</f>
        <v>1</v>
      </c>
      <c r="P59" s="47"/>
      <c r="Q59" s="48"/>
      <c r="R59" s="49" t="str">
        <f>SUMBER!H16</f>
        <v>SL. Mahoni</v>
      </c>
      <c r="S59" s="147"/>
      <c r="T59" s="251"/>
    </row>
    <row r="60" spans="1:20" s="37" customFormat="1" ht="40" customHeight="1" x14ac:dyDescent="0.7">
      <c r="A60" s="148" t="s">
        <v>41</v>
      </c>
      <c r="B60" s="51" t="s">
        <v>36</v>
      </c>
      <c r="C60" s="52"/>
      <c r="D60" s="53" t="s">
        <v>43</v>
      </c>
      <c r="E60" s="56">
        <v>5</v>
      </c>
      <c r="F60" s="55">
        <f>L60+E60</f>
        <v>31</v>
      </c>
      <c r="G60" s="56">
        <v>5</v>
      </c>
      <c r="H60" s="57">
        <f>G60+M60</f>
        <v>70</v>
      </c>
      <c r="I60" s="58">
        <v>40</v>
      </c>
      <c r="J60" s="59">
        <f>I60+N60</f>
        <v>473</v>
      </c>
      <c r="K60" s="59"/>
      <c r="L60" s="59">
        <f>L59</f>
        <v>26</v>
      </c>
      <c r="M60" s="267">
        <f>M59</f>
        <v>65</v>
      </c>
      <c r="N60" s="59">
        <f>N59</f>
        <v>433</v>
      </c>
      <c r="O60" s="59">
        <f>O59</f>
        <v>1</v>
      </c>
      <c r="P60" s="59">
        <f>O60*F$8</f>
        <v>1</v>
      </c>
      <c r="Q60" s="60">
        <f>P60*J60*H60*F60/1000000000</f>
        <v>1.02641E-3</v>
      </c>
      <c r="R60" s="61" t="str">
        <f>R59</f>
        <v>SL. Mahoni</v>
      </c>
      <c r="S60" s="62"/>
      <c r="T60" s="50"/>
    </row>
    <row r="61" spans="1:20" s="37" customFormat="1" ht="10" customHeight="1" x14ac:dyDescent="0.7">
      <c r="A61" s="38"/>
      <c r="B61" s="51"/>
      <c r="C61" s="122"/>
      <c r="D61" s="123"/>
      <c r="E61" s="56"/>
      <c r="F61" s="55"/>
      <c r="G61" s="56"/>
      <c r="H61" s="57"/>
      <c r="I61" s="58"/>
      <c r="J61" s="59"/>
      <c r="K61" s="59"/>
      <c r="L61" s="59"/>
      <c r="M61" s="59"/>
      <c r="N61" s="59"/>
      <c r="O61" s="59"/>
      <c r="P61" s="59"/>
      <c r="Q61" s="59"/>
      <c r="R61" s="60"/>
      <c r="S61" s="124"/>
      <c r="T61" s="36"/>
    </row>
    <row r="62" spans="1:20" s="37" customFormat="1" ht="60" customHeight="1" x14ac:dyDescent="0.9">
      <c r="A62" s="38">
        <f>SUMBER!A17</f>
        <v>17</v>
      </c>
      <c r="B62" s="39" t="s">
        <v>35</v>
      </c>
      <c r="C62" s="40"/>
      <c r="D62" s="41" t="str">
        <f>SUMBER!D17</f>
        <v>FRAME BACK REST MIDDLE</v>
      </c>
      <c r="E62" s="42"/>
      <c r="F62" s="43"/>
      <c r="G62" s="44"/>
      <c r="H62" s="43"/>
      <c r="I62" s="45"/>
      <c r="J62" s="46"/>
      <c r="K62" s="46"/>
      <c r="L62" s="46">
        <f>SUMBER!E17</f>
        <v>19</v>
      </c>
      <c r="M62" s="46">
        <f>SUMBER!F17</f>
        <v>254</v>
      </c>
      <c r="N62" s="46">
        <f>SUMBER!G17</f>
        <v>455</v>
      </c>
      <c r="O62" s="46">
        <f>SUMBER!C17</f>
        <v>1</v>
      </c>
      <c r="P62" s="47"/>
      <c r="Q62" s="48"/>
      <c r="R62" s="49" t="str">
        <f>SUMBER!H17</f>
        <v>SL. Mahoni</v>
      </c>
      <c r="S62" s="147" t="s">
        <v>107</v>
      </c>
      <c r="T62" s="251"/>
    </row>
    <row r="63" spans="1:20" s="37" customFormat="1" ht="40" customHeight="1" x14ac:dyDescent="0.7">
      <c r="A63" s="148" t="s">
        <v>41</v>
      </c>
      <c r="B63" s="51" t="s">
        <v>36</v>
      </c>
      <c r="C63" s="52"/>
      <c r="D63" s="53" t="s">
        <v>43</v>
      </c>
      <c r="E63" s="56">
        <v>0</v>
      </c>
      <c r="F63" s="55">
        <f>L63+E63</f>
        <v>19</v>
      </c>
      <c r="G63" s="56">
        <v>20</v>
      </c>
      <c r="H63" s="57">
        <f>G63+M63</f>
        <v>274</v>
      </c>
      <c r="I63" s="58">
        <v>40</v>
      </c>
      <c r="J63" s="59">
        <f>I63+N63</f>
        <v>495</v>
      </c>
      <c r="K63" s="59"/>
      <c r="L63" s="59">
        <f>L62</f>
        <v>19</v>
      </c>
      <c r="M63" s="267">
        <f>M62</f>
        <v>254</v>
      </c>
      <c r="N63" s="59">
        <f>N62</f>
        <v>455</v>
      </c>
      <c r="O63" s="59">
        <v>2</v>
      </c>
      <c r="P63" s="59">
        <f>O63*F$8</f>
        <v>2</v>
      </c>
      <c r="Q63" s="60">
        <f>P63*J63*H63*F63/1000000000</f>
        <v>5.1539400000000001E-3</v>
      </c>
      <c r="R63" s="61" t="str">
        <f>R62</f>
        <v>SL. Mahoni</v>
      </c>
      <c r="S63" s="62" t="s">
        <v>108</v>
      </c>
      <c r="T63" s="50"/>
    </row>
    <row r="64" spans="1:20" s="37" customFormat="1" ht="40" customHeight="1" x14ac:dyDescent="0.7">
      <c r="A64" s="38"/>
      <c r="B64" s="51" t="s">
        <v>36</v>
      </c>
      <c r="C64" s="52"/>
      <c r="D64" s="53" t="s">
        <v>43</v>
      </c>
      <c r="E64" s="56">
        <v>0</v>
      </c>
      <c r="F64" s="55">
        <f>L64+E64</f>
        <v>19</v>
      </c>
      <c r="G64" s="56">
        <v>40</v>
      </c>
      <c r="H64" s="57">
        <f>G64+M64</f>
        <v>495</v>
      </c>
      <c r="I64" s="58">
        <v>20</v>
      </c>
      <c r="J64" s="59">
        <f>I64+N64</f>
        <v>274</v>
      </c>
      <c r="K64" s="59"/>
      <c r="L64" s="59">
        <f>L63</f>
        <v>19</v>
      </c>
      <c r="M64" s="267">
        <f>N63</f>
        <v>455</v>
      </c>
      <c r="N64" s="59">
        <f>M63</f>
        <v>254</v>
      </c>
      <c r="O64" s="59">
        <v>1</v>
      </c>
      <c r="P64" s="59">
        <f>O64*F$8</f>
        <v>1</v>
      </c>
      <c r="Q64" s="60">
        <f>P64*J64*H64*F64/1000000000</f>
        <v>2.57697E-3</v>
      </c>
      <c r="R64" s="61" t="str">
        <f>R63</f>
        <v>SL. Mahoni</v>
      </c>
      <c r="S64" s="62" t="s">
        <v>109</v>
      </c>
      <c r="T64" s="36"/>
    </row>
    <row r="65" spans="1:20" s="37" customFormat="1" ht="10" customHeight="1" x14ac:dyDescent="0.7">
      <c r="A65" s="38"/>
      <c r="B65" s="51"/>
      <c r="C65" s="122"/>
      <c r="D65" s="123"/>
      <c r="E65" s="56"/>
      <c r="F65" s="55"/>
      <c r="G65" s="56"/>
      <c r="H65" s="57"/>
      <c r="I65" s="58"/>
      <c r="J65" s="59"/>
      <c r="K65" s="59"/>
      <c r="L65" s="59"/>
      <c r="M65" s="59"/>
      <c r="N65" s="59"/>
      <c r="O65" s="59"/>
      <c r="P65" s="59"/>
      <c r="Q65" s="59"/>
      <c r="R65" s="60"/>
      <c r="S65" s="276"/>
      <c r="T65" s="36"/>
    </row>
    <row r="66" spans="1:20" s="37" customFormat="1" ht="60" customHeight="1" x14ac:dyDescent="0.9">
      <c r="A66" s="38">
        <f>SUMBER!A18</f>
        <v>18</v>
      </c>
      <c r="B66" s="39" t="s">
        <v>35</v>
      </c>
      <c r="C66" s="40"/>
      <c r="D66" s="41" t="str">
        <f>SUMBER!D18</f>
        <v>FRONT CORNER L</v>
      </c>
      <c r="E66" s="42"/>
      <c r="F66" s="43"/>
      <c r="G66" s="44"/>
      <c r="H66" s="43"/>
      <c r="I66" s="45"/>
      <c r="J66" s="46"/>
      <c r="K66" s="46"/>
      <c r="L66" s="46">
        <f>SUMBER!E18</f>
        <v>32</v>
      </c>
      <c r="M66" s="46">
        <f>SUMBER!F18</f>
        <v>43.5</v>
      </c>
      <c r="N66" s="46">
        <f>SUMBER!G18</f>
        <v>106</v>
      </c>
      <c r="O66" s="46">
        <f>SUMBER!C18</f>
        <v>1</v>
      </c>
      <c r="P66" s="47"/>
      <c r="Q66" s="48"/>
      <c r="R66" s="49" t="str">
        <f>SUMBER!H18</f>
        <v xml:space="preserve">SL. Rubber </v>
      </c>
      <c r="S66" s="147"/>
      <c r="T66" s="251"/>
    </row>
    <row r="67" spans="1:20" s="37" customFormat="1" ht="40" customHeight="1" x14ac:dyDescent="0.7">
      <c r="A67" s="148" t="s">
        <v>41</v>
      </c>
      <c r="B67" s="51" t="s">
        <v>36</v>
      </c>
      <c r="C67" s="52"/>
      <c r="D67" s="53" t="s">
        <v>43</v>
      </c>
      <c r="E67" s="54">
        <v>0</v>
      </c>
      <c r="F67" s="55">
        <f>L67+E67</f>
        <v>6</v>
      </c>
      <c r="G67" s="56">
        <v>20</v>
      </c>
      <c r="H67" s="57">
        <f>G67+M67</f>
        <v>63.5</v>
      </c>
      <c r="I67" s="58">
        <v>40</v>
      </c>
      <c r="J67" s="59">
        <f>I67+N67</f>
        <v>146</v>
      </c>
      <c r="K67" s="59"/>
      <c r="L67" s="59">
        <v>6</v>
      </c>
      <c r="M67" s="267">
        <f>M66</f>
        <v>43.5</v>
      </c>
      <c r="N67" s="59">
        <f>N66</f>
        <v>106</v>
      </c>
      <c r="O67" s="59">
        <v>2</v>
      </c>
      <c r="P67" s="59">
        <f>O67*F$8</f>
        <v>2</v>
      </c>
      <c r="Q67" s="60">
        <f>P67*J67*H67*F67/1000000000</f>
        <v>1.11252E-4</v>
      </c>
      <c r="R67" s="61" t="str">
        <f>R66</f>
        <v xml:space="preserve">SL. Rubber </v>
      </c>
      <c r="S67" s="62"/>
      <c r="T67" s="50"/>
    </row>
    <row r="68" spans="1:20" s="37" customFormat="1" ht="10" customHeight="1" x14ac:dyDescent="0.7">
      <c r="A68" s="38"/>
      <c r="B68" s="51"/>
      <c r="C68" s="122"/>
      <c r="D68" s="123"/>
      <c r="E68" s="56"/>
      <c r="F68" s="55"/>
      <c r="G68" s="56"/>
      <c r="H68" s="57"/>
      <c r="I68" s="58"/>
      <c r="J68" s="59"/>
      <c r="K68" s="59"/>
      <c r="L68" s="59"/>
      <c r="M68" s="59"/>
      <c r="N68" s="59"/>
      <c r="O68" s="59"/>
      <c r="P68" s="59"/>
      <c r="Q68" s="59"/>
      <c r="R68" s="60"/>
      <c r="S68" s="124"/>
      <c r="T68" s="36"/>
    </row>
    <row r="69" spans="1:20" s="37" customFormat="1" ht="60" customHeight="1" x14ac:dyDescent="0.9">
      <c r="A69" s="38">
        <f>SUMBER!A19</f>
        <v>19</v>
      </c>
      <c r="B69" s="39" t="s">
        <v>35</v>
      </c>
      <c r="C69" s="40"/>
      <c r="D69" s="41" t="str">
        <f>SUMBER!D19</f>
        <v>FRONT CORNER R</v>
      </c>
      <c r="E69" s="42"/>
      <c r="F69" s="43"/>
      <c r="G69" s="44"/>
      <c r="H69" s="43"/>
      <c r="I69" s="45"/>
      <c r="J69" s="46"/>
      <c r="K69" s="46"/>
      <c r="L69" s="46">
        <f>SUMBER!E19</f>
        <v>32</v>
      </c>
      <c r="M69" s="46">
        <f>SUMBER!F19</f>
        <v>43.5</v>
      </c>
      <c r="N69" s="46">
        <f>SUMBER!G19</f>
        <v>106</v>
      </c>
      <c r="O69" s="46">
        <f>SUMBER!C19</f>
        <v>1</v>
      </c>
      <c r="P69" s="47"/>
      <c r="Q69" s="48"/>
      <c r="R69" s="49" t="str">
        <f>SUMBER!H19</f>
        <v xml:space="preserve">SL. Rubber </v>
      </c>
      <c r="S69" s="147"/>
      <c r="T69" s="251"/>
    </row>
    <row r="70" spans="1:20" s="37" customFormat="1" ht="40" customHeight="1" x14ac:dyDescent="0.7">
      <c r="A70" s="148" t="s">
        <v>41</v>
      </c>
      <c r="B70" s="51" t="s">
        <v>36</v>
      </c>
      <c r="C70" s="52"/>
      <c r="D70" s="53" t="s">
        <v>43</v>
      </c>
      <c r="E70" s="54">
        <v>2</v>
      </c>
      <c r="F70" s="55">
        <f>L70+E70</f>
        <v>34</v>
      </c>
      <c r="G70" s="56">
        <v>5</v>
      </c>
      <c r="H70" s="57">
        <f>G70+M70</f>
        <v>48.5</v>
      </c>
      <c r="I70" s="58">
        <v>10</v>
      </c>
      <c r="J70" s="59">
        <f>I70+N70</f>
        <v>116</v>
      </c>
      <c r="K70" s="59"/>
      <c r="L70" s="59">
        <f>L69</f>
        <v>32</v>
      </c>
      <c r="M70" s="267">
        <f>M69</f>
        <v>43.5</v>
      </c>
      <c r="N70" s="59">
        <f>N69</f>
        <v>106</v>
      </c>
      <c r="O70" s="59">
        <f>O69</f>
        <v>1</v>
      </c>
      <c r="P70" s="59">
        <f>O70*F$8</f>
        <v>1</v>
      </c>
      <c r="Q70" s="60">
        <f>P70*J70*H70*F70/1000000000</f>
        <v>1.9128400000000001E-4</v>
      </c>
      <c r="R70" s="61" t="str">
        <f>R69</f>
        <v xml:space="preserve">SL. Rubber </v>
      </c>
      <c r="S70" s="62"/>
      <c r="T70" s="50"/>
    </row>
    <row r="71" spans="1:20" s="37" customFormat="1" ht="10" customHeight="1" x14ac:dyDescent="0.7">
      <c r="A71" s="38"/>
      <c r="B71" s="51"/>
      <c r="C71" s="122"/>
      <c r="D71" s="123"/>
      <c r="E71" s="56"/>
      <c r="F71" s="55"/>
      <c r="G71" s="56"/>
      <c r="H71" s="57"/>
      <c r="I71" s="58"/>
      <c r="J71" s="59"/>
      <c r="K71" s="59"/>
      <c r="L71" s="59"/>
      <c r="M71" s="59"/>
      <c r="N71" s="59"/>
      <c r="O71" s="59"/>
      <c r="P71" s="59"/>
      <c r="Q71" s="59"/>
      <c r="R71" s="60"/>
      <c r="S71" s="124"/>
      <c r="T71" s="36"/>
    </row>
    <row r="72" spans="1:20" s="37" customFormat="1" ht="60" customHeight="1" x14ac:dyDescent="0.9">
      <c r="A72" s="38">
        <f>SUMBER!A20</f>
        <v>20</v>
      </c>
      <c r="B72" s="39" t="s">
        <v>35</v>
      </c>
      <c r="C72" s="40"/>
      <c r="D72" s="41" t="str">
        <f>SUMBER!D20</f>
        <v>BACK CORNER L</v>
      </c>
      <c r="E72" s="42"/>
      <c r="F72" s="43"/>
      <c r="G72" s="44"/>
      <c r="H72" s="43"/>
      <c r="I72" s="45"/>
      <c r="J72" s="46"/>
      <c r="K72" s="46"/>
      <c r="L72" s="46">
        <f>SUMBER!E20</f>
        <v>32</v>
      </c>
      <c r="M72" s="46">
        <f>SUMBER!F20</f>
        <v>38</v>
      </c>
      <c r="N72" s="46">
        <f>SUMBER!G20</f>
        <v>139</v>
      </c>
      <c r="O72" s="46">
        <f>SUMBER!C20</f>
        <v>1</v>
      </c>
      <c r="P72" s="47"/>
      <c r="Q72" s="48"/>
      <c r="R72" s="49" t="str">
        <f>SUMBER!H20</f>
        <v>SL. Rubber</v>
      </c>
      <c r="S72" s="147"/>
      <c r="T72" s="251"/>
    </row>
    <row r="73" spans="1:20" s="37" customFormat="1" ht="40" customHeight="1" x14ac:dyDescent="0.7">
      <c r="A73" s="148" t="s">
        <v>41</v>
      </c>
      <c r="B73" s="51" t="s">
        <v>36</v>
      </c>
      <c r="C73" s="52"/>
      <c r="D73" s="53" t="s">
        <v>43</v>
      </c>
      <c r="E73" s="54">
        <v>2</v>
      </c>
      <c r="F73" s="55">
        <f>L73+E73</f>
        <v>34</v>
      </c>
      <c r="G73" s="56">
        <v>5</v>
      </c>
      <c r="H73" s="57">
        <f>G73+M73</f>
        <v>43</v>
      </c>
      <c r="I73" s="58">
        <v>10</v>
      </c>
      <c r="J73" s="59">
        <f>I73+N73</f>
        <v>149</v>
      </c>
      <c r="K73" s="59"/>
      <c r="L73" s="59">
        <f>L72</f>
        <v>32</v>
      </c>
      <c r="M73" s="267">
        <f>M72</f>
        <v>38</v>
      </c>
      <c r="N73" s="59">
        <f>N72</f>
        <v>139</v>
      </c>
      <c r="O73" s="59">
        <f>O72</f>
        <v>1</v>
      </c>
      <c r="P73" s="59">
        <f>O73*F$8</f>
        <v>1</v>
      </c>
      <c r="Q73" s="60">
        <f>P73*J73*H73*F73/1000000000</f>
        <v>2.1783800000000001E-4</v>
      </c>
      <c r="R73" s="61" t="str">
        <f>R72</f>
        <v>SL. Rubber</v>
      </c>
      <c r="S73" s="62"/>
      <c r="T73" s="50"/>
    </row>
    <row r="74" spans="1:20" s="37" customFormat="1" ht="10" customHeight="1" x14ac:dyDescent="0.7">
      <c r="A74" s="38"/>
      <c r="B74" s="51"/>
      <c r="C74" s="122"/>
      <c r="D74" s="123"/>
      <c r="E74" s="56"/>
      <c r="F74" s="55"/>
      <c r="G74" s="56"/>
      <c r="H74" s="57"/>
      <c r="I74" s="58"/>
      <c r="J74" s="59"/>
      <c r="K74" s="59"/>
      <c r="L74" s="59"/>
      <c r="M74" s="59"/>
      <c r="N74" s="59"/>
      <c r="O74" s="59"/>
      <c r="P74" s="59"/>
      <c r="Q74" s="59"/>
      <c r="R74" s="60"/>
      <c r="S74" s="124"/>
      <c r="T74" s="36"/>
    </row>
    <row r="75" spans="1:20" s="37" customFormat="1" ht="60" customHeight="1" x14ac:dyDescent="0.9">
      <c r="A75" s="38">
        <f>SUMBER!A21</f>
        <v>21</v>
      </c>
      <c r="B75" s="39" t="s">
        <v>35</v>
      </c>
      <c r="C75" s="40"/>
      <c r="D75" s="41" t="str">
        <f>SUMBER!D21</f>
        <v xml:space="preserve">BACK CORNER R </v>
      </c>
      <c r="E75" s="42"/>
      <c r="F75" s="43"/>
      <c r="G75" s="44"/>
      <c r="H75" s="43"/>
      <c r="I75" s="45"/>
      <c r="J75" s="46"/>
      <c r="K75" s="46"/>
      <c r="L75" s="46">
        <f>SUMBER!E21</f>
        <v>32</v>
      </c>
      <c r="M75" s="46">
        <f>SUMBER!F21</f>
        <v>38</v>
      </c>
      <c r="N75" s="46">
        <f>SUMBER!G21</f>
        <v>139</v>
      </c>
      <c r="O75" s="46">
        <f>SUMBER!C21</f>
        <v>1</v>
      </c>
      <c r="P75" s="47"/>
      <c r="Q75" s="48"/>
      <c r="R75" s="49" t="str">
        <f>SUMBER!H21</f>
        <v>SL. Rubber</v>
      </c>
      <c r="S75" s="147"/>
      <c r="T75" s="251"/>
    </row>
    <row r="76" spans="1:20" s="37" customFormat="1" ht="40" customHeight="1" x14ac:dyDescent="0.7">
      <c r="A76" s="148" t="s">
        <v>41</v>
      </c>
      <c r="B76" s="51" t="s">
        <v>36</v>
      </c>
      <c r="C76" s="52"/>
      <c r="D76" s="53" t="s">
        <v>43</v>
      </c>
      <c r="E76" s="54">
        <v>2</v>
      </c>
      <c r="F76" s="55">
        <f>L76+E76</f>
        <v>34</v>
      </c>
      <c r="G76" s="56">
        <v>5</v>
      </c>
      <c r="H76" s="57">
        <f>G76+M76</f>
        <v>43</v>
      </c>
      <c r="I76" s="58">
        <v>10</v>
      </c>
      <c r="J76" s="59">
        <f>I76+N76</f>
        <v>149</v>
      </c>
      <c r="K76" s="59"/>
      <c r="L76" s="59">
        <f>L75</f>
        <v>32</v>
      </c>
      <c r="M76" s="267">
        <f>M75</f>
        <v>38</v>
      </c>
      <c r="N76" s="59">
        <f>N75</f>
        <v>139</v>
      </c>
      <c r="O76" s="59">
        <f>O75</f>
        <v>1</v>
      </c>
      <c r="P76" s="59">
        <f>O76*F$8</f>
        <v>1</v>
      </c>
      <c r="Q76" s="60">
        <f>P76*J76*H76*F76/1000000000</f>
        <v>2.1783800000000001E-4</v>
      </c>
      <c r="R76" s="61" t="str">
        <f>R75</f>
        <v>SL. Rubber</v>
      </c>
      <c r="S76" s="62"/>
      <c r="T76" s="50"/>
    </row>
    <row r="77" spans="1:20" s="37" customFormat="1" ht="10" customHeight="1" x14ac:dyDescent="0.7">
      <c r="A77" s="38"/>
      <c r="B77" s="51"/>
      <c r="C77" s="122"/>
      <c r="D77" s="123"/>
      <c r="E77" s="56"/>
      <c r="F77" s="55"/>
      <c r="G77" s="56"/>
      <c r="H77" s="57"/>
      <c r="I77" s="58"/>
      <c r="J77" s="59"/>
      <c r="K77" s="59"/>
      <c r="L77" s="59"/>
      <c r="M77" s="59"/>
      <c r="N77" s="59"/>
      <c r="O77" s="59"/>
      <c r="P77" s="59"/>
      <c r="Q77" s="59"/>
      <c r="R77" s="60"/>
      <c r="S77" s="124"/>
      <c r="T77" s="36"/>
    </row>
    <row r="78" spans="1:20" s="37" customFormat="1" ht="60" customHeight="1" x14ac:dyDescent="0.7">
      <c r="A78" s="254">
        <f>SUMBER!A22</f>
        <v>22</v>
      </c>
      <c r="B78" s="255" t="s">
        <v>35</v>
      </c>
      <c r="C78" s="256"/>
      <c r="D78" s="257" t="str">
        <f>SUMBER!D25</f>
        <v>DOWEL 10X10X30</v>
      </c>
      <c r="E78" s="258"/>
      <c r="F78" s="259"/>
      <c r="G78" s="260"/>
      <c r="H78" s="259"/>
      <c r="I78" s="261"/>
      <c r="J78" s="253"/>
      <c r="K78" s="253"/>
      <c r="L78" s="253">
        <f>SUMBER!E25</f>
        <v>10</v>
      </c>
      <c r="M78" s="46">
        <f>SUMBER!F25</f>
        <v>10</v>
      </c>
      <c r="N78" s="253">
        <f>SUMBER!G25</f>
        <v>30</v>
      </c>
      <c r="O78" s="253">
        <f>SUMBER!C25</f>
        <v>4</v>
      </c>
      <c r="P78" s="262"/>
      <c r="Q78" s="263"/>
      <c r="R78" s="264" t="str">
        <f>SUMBER!H25</f>
        <v>SL.White Beech</v>
      </c>
      <c r="S78" s="62"/>
      <c r="T78" s="50"/>
    </row>
    <row r="79" spans="1:20" s="37" customFormat="1" ht="40" customHeight="1" x14ac:dyDescent="0.7">
      <c r="A79" s="148" t="s">
        <v>41</v>
      </c>
      <c r="B79" s="51" t="s">
        <v>36</v>
      </c>
      <c r="C79" s="52"/>
      <c r="D79" s="53" t="s">
        <v>43</v>
      </c>
      <c r="E79" s="54">
        <v>0</v>
      </c>
      <c r="F79" s="55">
        <f>L79+E79</f>
        <v>10</v>
      </c>
      <c r="G79" s="56">
        <v>0</v>
      </c>
      <c r="H79" s="57">
        <f>G79+M79</f>
        <v>10</v>
      </c>
      <c r="I79" s="58">
        <v>0</v>
      </c>
      <c r="J79" s="59">
        <f>I79+N79</f>
        <v>30</v>
      </c>
      <c r="K79" s="59"/>
      <c r="L79" s="59">
        <f>L78</f>
        <v>10</v>
      </c>
      <c r="M79" s="267">
        <f>M78</f>
        <v>10</v>
      </c>
      <c r="N79" s="59">
        <f>N78</f>
        <v>30</v>
      </c>
      <c r="O79" s="59">
        <f>O78</f>
        <v>4</v>
      </c>
      <c r="P79" s="59">
        <f>O79*F$8</f>
        <v>4</v>
      </c>
      <c r="Q79" s="60">
        <f>P79*J79*H79*F79/1000000000</f>
        <v>1.2E-5</v>
      </c>
      <c r="R79" s="61" t="str">
        <f>R78</f>
        <v>SL.White Beech</v>
      </c>
      <c r="S79" s="62"/>
      <c r="T79" s="36"/>
    </row>
    <row r="80" spans="1:20" s="37" customFormat="1" ht="10" customHeight="1" x14ac:dyDescent="0.7">
      <c r="A80" s="148"/>
      <c r="B80" s="51"/>
      <c r="C80" s="52"/>
      <c r="D80" s="53"/>
      <c r="E80" s="54"/>
      <c r="F80" s="55"/>
      <c r="G80" s="56"/>
      <c r="H80" s="57"/>
      <c r="I80" s="58"/>
      <c r="J80" s="59"/>
      <c r="K80" s="59"/>
      <c r="L80" s="59"/>
      <c r="M80" s="267"/>
      <c r="N80" s="59"/>
      <c r="O80" s="59"/>
      <c r="P80" s="59"/>
      <c r="Q80" s="60"/>
      <c r="R80" s="61"/>
      <c r="S80" s="62"/>
      <c r="T80" s="36"/>
    </row>
    <row r="81" spans="1:20" s="37" customFormat="1" ht="60" customHeight="1" x14ac:dyDescent="0.9">
      <c r="A81" s="254">
        <f>SUMBER!A23</f>
        <v>23</v>
      </c>
      <c r="B81" s="255" t="s">
        <v>35</v>
      </c>
      <c r="C81" s="256"/>
      <c r="D81" s="257" t="str">
        <f>SUMBER!D26</f>
        <v>DOWEL 10X10X20</v>
      </c>
      <c r="E81" s="258"/>
      <c r="F81" s="259"/>
      <c r="G81" s="260"/>
      <c r="H81" s="259"/>
      <c r="I81" s="261"/>
      <c r="J81" s="253"/>
      <c r="K81" s="253"/>
      <c r="L81" s="253">
        <f>SUMBER!E26</f>
        <v>10</v>
      </c>
      <c r="M81" s="46">
        <f>SUMBER!F26</f>
        <v>10</v>
      </c>
      <c r="N81" s="253">
        <f>SUMBER!G26</f>
        <v>20</v>
      </c>
      <c r="O81" s="253">
        <f>SUMBER!C26</f>
        <v>4</v>
      </c>
      <c r="P81" s="262"/>
      <c r="Q81" s="263"/>
      <c r="R81" s="264" t="str">
        <f>SUMBER!H26</f>
        <v>SL.White Beech</v>
      </c>
      <c r="S81" s="62"/>
      <c r="T81" s="251"/>
    </row>
    <row r="82" spans="1:20" s="37" customFormat="1" ht="40" customHeight="1" x14ac:dyDescent="0.7">
      <c r="A82" s="148" t="s">
        <v>41</v>
      </c>
      <c r="B82" s="51" t="s">
        <v>36</v>
      </c>
      <c r="C82" s="52"/>
      <c r="D82" s="53" t="s">
        <v>43</v>
      </c>
      <c r="E82" s="54">
        <v>0</v>
      </c>
      <c r="F82" s="55">
        <f>L82+E82</f>
        <v>10</v>
      </c>
      <c r="G82" s="56">
        <v>0</v>
      </c>
      <c r="H82" s="57">
        <f>G82+M82</f>
        <v>10</v>
      </c>
      <c r="I82" s="58">
        <v>0</v>
      </c>
      <c r="J82" s="59">
        <f>I82+N82</f>
        <v>20</v>
      </c>
      <c r="K82" s="59"/>
      <c r="L82" s="59">
        <f>L81</f>
        <v>10</v>
      </c>
      <c r="M82" s="267">
        <f>M81</f>
        <v>10</v>
      </c>
      <c r="N82" s="59">
        <f>N81</f>
        <v>20</v>
      </c>
      <c r="O82" s="59">
        <f>O81</f>
        <v>4</v>
      </c>
      <c r="P82" s="59">
        <f>O82*F$8</f>
        <v>4</v>
      </c>
      <c r="Q82" s="60">
        <f>P82*J82*H82*F82/1000000000</f>
        <v>7.9999999999999996E-6</v>
      </c>
      <c r="R82" s="61" t="str">
        <f>R81</f>
        <v>SL.White Beech</v>
      </c>
      <c r="S82" s="62"/>
      <c r="T82" s="50"/>
    </row>
    <row r="83" spans="1:20" s="37" customFormat="1" ht="10" customHeight="1" x14ac:dyDescent="0.7">
      <c r="A83" s="38"/>
      <c r="B83" s="51"/>
      <c r="C83" s="122"/>
      <c r="D83" s="123"/>
      <c r="E83" s="56"/>
      <c r="F83" s="55"/>
      <c r="G83" s="56"/>
      <c r="H83" s="57"/>
      <c r="I83" s="58"/>
      <c r="J83" s="59"/>
      <c r="K83" s="59"/>
      <c r="L83" s="59"/>
      <c r="M83" s="59"/>
      <c r="N83" s="59"/>
      <c r="O83" s="59"/>
      <c r="P83" s="59"/>
      <c r="Q83" s="59"/>
      <c r="R83" s="60"/>
      <c r="S83" s="124"/>
      <c r="T83" s="36"/>
    </row>
    <row r="84" spans="1:20" s="37" customFormat="1" ht="60" customHeight="1" x14ac:dyDescent="0.9">
      <c r="A84" s="63"/>
      <c r="B84" s="64"/>
      <c r="C84" s="65"/>
      <c r="D84" s="66"/>
      <c r="E84" s="67"/>
      <c r="F84" s="63"/>
      <c r="G84" s="68"/>
      <c r="H84" s="63"/>
      <c r="I84" s="69"/>
      <c r="J84" s="70"/>
      <c r="K84" s="70"/>
      <c r="L84" s="70"/>
      <c r="M84" s="70"/>
      <c r="N84" s="70"/>
      <c r="O84" s="70"/>
      <c r="P84" s="70"/>
      <c r="Q84" s="71"/>
      <c r="R84" s="72"/>
      <c r="S84" s="72"/>
      <c r="T84" s="251"/>
    </row>
    <row r="85" spans="1:20" s="37" customFormat="1" ht="40" customHeight="1" x14ac:dyDescent="0.7">
      <c r="A85" s="63"/>
      <c r="B85" s="64"/>
      <c r="C85" s="65"/>
      <c r="D85" s="66"/>
      <c r="E85" s="67"/>
      <c r="F85" s="63"/>
      <c r="G85" s="68"/>
      <c r="H85" s="63"/>
      <c r="I85" s="69"/>
      <c r="J85" s="70"/>
      <c r="K85" s="70"/>
      <c r="L85" s="70"/>
      <c r="M85" s="70"/>
      <c r="N85" s="70"/>
      <c r="O85" s="70"/>
      <c r="P85" s="70"/>
      <c r="Q85" s="71"/>
      <c r="R85" s="73" t="str">
        <f>"Sidoarjo,"&amp;F7</f>
        <v>Sidoarjo,4 Oktober 2026</v>
      </c>
      <c r="S85" s="72"/>
      <c r="T85" s="50"/>
    </row>
    <row r="86" spans="1:20" s="37" customFormat="1" ht="10" customHeight="1" x14ac:dyDescent="0.7">
      <c r="A86" s="63"/>
      <c r="B86" s="64"/>
      <c r="C86" s="65"/>
      <c r="D86" s="310" t="s">
        <v>22</v>
      </c>
      <c r="E86" s="310"/>
      <c r="F86" s="289"/>
      <c r="G86" s="289"/>
      <c r="H86" s="74"/>
      <c r="I86" s="75"/>
      <c r="J86" s="289" t="s">
        <v>53</v>
      </c>
      <c r="K86" s="289"/>
      <c r="L86" s="289"/>
      <c r="M86" s="70"/>
      <c r="N86" s="70"/>
      <c r="O86" s="70"/>
      <c r="P86" s="70"/>
      <c r="Q86" s="71"/>
      <c r="R86" s="76" t="s">
        <v>23</v>
      </c>
      <c r="S86" s="72"/>
      <c r="T86" s="36"/>
    </row>
    <row r="87" spans="1:20" s="37" customFormat="1" ht="60" customHeight="1" x14ac:dyDescent="0.9">
      <c r="A87" s="63"/>
      <c r="B87" s="64"/>
      <c r="C87" s="65"/>
      <c r="D87" s="150"/>
      <c r="E87" s="150"/>
      <c r="F87" s="149"/>
      <c r="G87" s="149"/>
      <c r="H87" s="74"/>
      <c r="I87" s="75"/>
      <c r="J87" s="149"/>
      <c r="K87" s="149"/>
      <c r="L87" s="149"/>
      <c r="M87" s="70"/>
      <c r="N87" s="70"/>
      <c r="O87" s="70"/>
      <c r="P87" s="70"/>
      <c r="Q87" s="71"/>
      <c r="R87" s="76"/>
      <c r="S87" s="72"/>
      <c r="T87" s="251"/>
    </row>
    <row r="88" spans="1:20" s="37" customFormat="1" ht="40" customHeight="1" x14ac:dyDescent="0.7">
      <c r="A88" s="63"/>
      <c r="B88" s="64"/>
      <c r="C88" s="65"/>
      <c r="D88" s="150"/>
      <c r="E88" s="150"/>
      <c r="F88" s="149"/>
      <c r="G88" s="149"/>
      <c r="H88" s="74"/>
      <c r="I88" s="75"/>
      <c r="J88" s="149"/>
      <c r="K88" s="149"/>
      <c r="L88" s="149"/>
      <c r="M88" s="70"/>
      <c r="N88" s="70"/>
      <c r="O88" s="70"/>
      <c r="P88" s="70"/>
      <c r="Q88" s="71"/>
      <c r="R88" s="76"/>
      <c r="S88" s="72"/>
      <c r="T88" s="50"/>
    </row>
    <row r="89" spans="1:20" s="37" customFormat="1" ht="10" customHeight="1" x14ac:dyDescent="0.7">
      <c r="A89" s="3"/>
      <c r="B89" s="3"/>
      <c r="C89" s="1"/>
      <c r="D89" s="1"/>
      <c r="E89" s="2"/>
      <c r="F89" s="3"/>
      <c r="G89" s="4"/>
      <c r="H89" s="3"/>
      <c r="I89" s="4"/>
      <c r="J89" s="3"/>
      <c r="K89" s="3"/>
      <c r="L89" s="3"/>
      <c r="M89" s="3"/>
      <c r="N89" s="3"/>
      <c r="O89" s="3"/>
      <c r="P89" s="3"/>
      <c r="Q89" s="3"/>
      <c r="R89" s="1"/>
      <c r="S89" s="1"/>
      <c r="T89" s="36"/>
    </row>
    <row r="90" spans="1:20" s="37" customFormat="1" ht="40" customHeight="1" x14ac:dyDescent="0.7">
      <c r="A90" s="119"/>
      <c r="B90" s="119"/>
      <c r="C90" s="303" t="s">
        <v>24</v>
      </c>
      <c r="D90" s="303"/>
      <c r="E90" s="303"/>
      <c r="F90" s="119"/>
      <c r="G90" s="121"/>
      <c r="H90" s="119"/>
      <c r="I90" s="121"/>
      <c r="J90" s="304" t="s">
        <v>70</v>
      </c>
      <c r="K90" s="304"/>
      <c r="L90" s="304"/>
      <c r="M90" s="119"/>
      <c r="N90" s="119"/>
      <c r="O90" s="119"/>
      <c r="P90" s="119"/>
      <c r="Q90" s="119"/>
      <c r="R90" s="120" t="s">
        <v>100</v>
      </c>
      <c r="S90" s="120"/>
      <c r="T90" s="265"/>
    </row>
    <row r="91" spans="1:20" s="37" customFormat="1" ht="40" customHeight="1" x14ac:dyDescent="0.7">
      <c r="A91" s="34"/>
      <c r="B91" s="34"/>
      <c r="C91" s="116"/>
      <c r="D91" s="116"/>
      <c r="E91" s="117"/>
      <c r="F91" s="35"/>
      <c r="G91" s="78"/>
      <c r="H91" s="35"/>
      <c r="I91" s="78"/>
      <c r="J91" s="35"/>
      <c r="K91" s="35"/>
      <c r="L91" s="35"/>
      <c r="M91" s="35"/>
      <c r="N91" s="35"/>
      <c r="O91" s="35"/>
      <c r="P91" s="35"/>
      <c r="Q91" s="35"/>
      <c r="R91" s="30"/>
      <c r="S91" s="30"/>
      <c r="T91" s="50"/>
    </row>
    <row r="92" spans="1:20" s="37" customFormat="1" ht="40" customHeight="1" x14ac:dyDescent="0.7">
      <c r="A92" s="35"/>
      <c r="B92" s="35"/>
      <c r="C92" s="30"/>
      <c r="D92" s="30"/>
      <c r="E92" s="77"/>
      <c r="F92" s="35"/>
      <c r="G92" s="78"/>
      <c r="H92" s="35"/>
      <c r="I92" s="78"/>
      <c r="J92" s="35"/>
      <c r="K92" s="35"/>
      <c r="L92" s="35"/>
      <c r="M92" s="35"/>
      <c r="N92" s="35"/>
      <c r="O92" s="35"/>
      <c r="P92" s="35"/>
      <c r="Q92" s="35"/>
      <c r="R92" s="30"/>
      <c r="S92" s="30"/>
      <c r="T92" s="265"/>
    </row>
    <row r="93" spans="1:20" s="37" customFormat="1" ht="40" customHeight="1" x14ac:dyDescent="0.7">
      <c r="A93" s="35"/>
      <c r="B93" s="35"/>
      <c r="C93" s="30"/>
      <c r="D93" s="30"/>
      <c r="E93" s="77"/>
      <c r="F93" s="35"/>
      <c r="G93" s="78"/>
      <c r="H93" s="35"/>
      <c r="I93" s="78"/>
      <c r="J93" s="35"/>
      <c r="K93" s="35"/>
      <c r="L93" s="35"/>
      <c r="M93" s="35"/>
      <c r="N93" s="35"/>
      <c r="O93" s="35"/>
      <c r="P93" s="35"/>
      <c r="Q93" s="35"/>
      <c r="R93" s="30"/>
      <c r="S93" s="30"/>
      <c r="T93" s="50"/>
    </row>
    <row r="94" spans="1:20" s="37" customFormat="1" ht="10" customHeight="1" x14ac:dyDescent="0.7">
      <c r="A94" s="35"/>
      <c r="B94" s="35"/>
      <c r="C94" s="30"/>
      <c r="D94" s="30"/>
      <c r="E94" s="77"/>
      <c r="F94" s="35"/>
      <c r="G94" s="78"/>
      <c r="H94" s="35"/>
      <c r="I94" s="78"/>
      <c r="J94" s="35"/>
      <c r="K94" s="35"/>
      <c r="L94" s="35"/>
      <c r="M94" s="35"/>
      <c r="N94" s="35"/>
      <c r="O94" s="35"/>
      <c r="P94" s="35"/>
      <c r="Q94" s="35"/>
      <c r="R94" s="30"/>
      <c r="S94" s="30"/>
      <c r="T94" s="36"/>
    </row>
    <row r="95" spans="1:20" s="37" customFormat="1" ht="10" customHeight="1" x14ac:dyDescent="0.7">
      <c r="A95" s="35"/>
      <c r="B95" s="35"/>
      <c r="C95" s="30"/>
      <c r="D95" s="30"/>
      <c r="E95" s="77"/>
      <c r="F95" s="35"/>
      <c r="G95" s="78"/>
      <c r="H95" s="35"/>
      <c r="I95" s="78"/>
      <c r="J95" s="35"/>
      <c r="K95" s="35"/>
      <c r="L95" s="35"/>
      <c r="M95" s="35"/>
      <c r="N95" s="35"/>
      <c r="O95" s="35"/>
      <c r="P95" s="35"/>
      <c r="Q95" s="35"/>
      <c r="R95" s="30"/>
      <c r="S95" s="30"/>
      <c r="T95" s="36"/>
    </row>
    <row r="96" spans="1:20" ht="42.75" customHeight="1" x14ac:dyDescent="0.45"/>
    <row r="97" spans="1:20" ht="34.5" customHeight="1" x14ac:dyDescent="0.45"/>
    <row r="98" spans="1:20" ht="27.75" customHeight="1" x14ac:dyDescent="0.45"/>
    <row r="99" spans="1:20" ht="27.75" customHeight="1" x14ac:dyDescent="0.45"/>
    <row r="100" spans="1:20" ht="27.75" customHeight="1" x14ac:dyDescent="0.45"/>
    <row r="101" spans="1:20" s="80" customFormat="1" ht="34.5" customHeight="1" x14ac:dyDescent="0.5">
      <c r="A101" s="35"/>
      <c r="B101" s="35"/>
      <c r="C101" s="30"/>
      <c r="D101" s="30"/>
      <c r="E101" s="77"/>
      <c r="F101" s="35"/>
      <c r="G101" s="78"/>
      <c r="H101" s="35"/>
      <c r="I101" s="78"/>
      <c r="J101" s="35"/>
      <c r="K101" s="35"/>
      <c r="L101" s="35"/>
      <c r="M101" s="35"/>
      <c r="N101" s="35"/>
      <c r="O101" s="35"/>
      <c r="P101" s="35"/>
      <c r="Q101" s="35"/>
      <c r="R101" s="30"/>
      <c r="S101" s="30"/>
      <c r="T101" s="79"/>
    </row>
    <row r="102" spans="1:20" ht="34.5" customHeight="1" x14ac:dyDescent="0.45"/>
    <row r="103" spans="1:20" ht="34.5" customHeight="1" x14ac:dyDescent="0.45"/>
    <row r="104" spans="1:20" ht="13.5" customHeight="1" x14ac:dyDescent="0.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20" ht="54" customHeight="1" x14ac:dyDescent="0.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20" ht="31.5" customHeight="1" x14ac:dyDescent="0.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20" ht="30" customHeight="1" x14ac:dyDescent="0.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20" ht="30" customHeight="1" x14ac:dyDescent="0.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20" ht="36" customHeight="1" x14ac:dyDescent="0.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20" ht="39" customHeight="1" x14ac:dyDescent="0.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20" ht="33" customHeight="1" x14ac:dyDescent="0.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20" ht="33" customHeight="1" x14ac:dyDescent="0.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20" ht="33" customHeight="1" x14ac:dyDescent="0.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1:20" ht="7.5" customHeight="1" x14ac:dyDescent="0.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1:20" ht="52.5" customHeight="1" x14ac:dyDescent="0.45">
      <c r="T115" s="6"/>
    </row>
    <row r="116" spans="1:20" ht="36" customHeight="1" x14ac:dyDescent="0.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ht="36.75" customHeight="1" x14ac:dyDescent="0.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ht="44.25" customHeight="1" x14ac:dyDescent="0.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ht="39" customHeight="1" x14ac:dyDescent="0.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ht="6.75" customHeight="1" x14ac:dyDescent="0.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ht="48.75" customHeight="1" x14ac:dyDescent="0.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ht="48" customHeight="1" x14ac:dyDescent="0.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ht="51" customHeight="1" x14ac:dyDescent="0.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ht="42.75" customHeight="1" x14ac:dyDescent="0.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ht="6.75" customHeight="1" x14ac:dyDescent="0.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7" spans="1:20" ht="39" customHeight="1" x14ac:dyDescent="0.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ht="42.75" customHeight="1" x14ac:dyDescent="0.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ht="3.75" customHeight="1" x14ac:dyDescent="0.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ht="60" customHeight="1" x14ac:dyDescent="0.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ht="43.5" customHeight="1" x14ac:dyDescent="0.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ht="10.5" customHeight="1" x14ac:dyDescent="0.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ht="52.5" customHeight="1" x14ac:dyDescent="0.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ht="44.25" customHeight="1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ht="6.75" customHeight="1" x14ac:dyDescent="0.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ht="62.25" customHeight="1" x14ac:dyDescent="0.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x14ac:dyDescent="0.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1:20" ht="7.5" customHeight="1" x14ac:dyDescent="0.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ht="51.75" customHeight="1" x14ac:dyDescent="0.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ht="48.75" customHeight="1" x14ac:dyDescent="0.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ht="9" customHeight="1" x14ac:dyDescent="0.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ht="50.25" customHeight="1" x14ac:dyDescent="0.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ht="36.75" customHeight="1" x14ac:dyDescent="0.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ht="36.75" customHeight="1" x14ac:dyDescent="0.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="6" customFormat="1" ht="36.75" customHeight="1" x14ac:dyDescent="0.45"/>
    <row r="146" s="6" customFormat="1" ht="36.75" customHeight="1" x14ac:dyDescent="0.45"/>
    <row r="147" s="6" customFormat="1" ht="36.75" customHeight="1" x14ac:dyDescent="0.45"/>
    <row r="148" s="6" customFormat="1" ht="36.75" customHeight="1" x14ac:dyDescent="0.45"/>
    <row r="149" s="6" customFormat="1" ht="5.25" customHeight="1" x14ac:dyDescent="0.45"/>
    <row r="150" s="6" customFormat="1" ht="59.25" customHeight="1" x14ac:dyDescent="0.45"/>
    <row r="151" s="6" customFormat="1" ht="50.25" customHeight="1" x14ac:dyDescent="0.45"/>
    <row r="152" s="6" customFormat="1" ht="50.25" customHeight="1" x14ac:dyDescent="0.45"/>
    <row r="153" s="6" customFormat="1" ht="50.25" customHeight="1" x14ac:dyDescent="0.45"/>
    <row r="154" s="6" customFormat="1" ht="50.25" customHeight="1" x14ac:dyDescent="0.45"/>
    <row r="155" s="6" customFormat="1" ht="12" customHeight="1" x14ac:dyDescent="0.45"/>
    <row r="156" s="6" customFormat="1" ht="92.25" customHeight="1" x14ac:dyDescent="0.45"/>
    <row r="157" s="6" customFormat="1" ht="24" customHeight="1" x14ac:dyDescent="0.45"/>
    <row r="158" s="6" customFormat="1" ht="46.5" customHeight="1" x14ac:dyDescent="0.45"/>
    <row r="159" s="6" customFormat="1" ht="63" customHeight="1" x14ac:dyDescent="0.45"/>
    <row r="160" s="6" customFormat="1" ht="7.5" customHeight="1" x14ac:dyDescent="0.45"/>
    <row r="161" spans="1:20" ht="42.75" customHeight="1" x14ac:dyDescent="0.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ht="56.25" customHeight="1" x14ac:dyDescent="0.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ht="45" customHeight="1" x14ac:dyDescent="0.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ht="8.25" customHeight="1" x14ac:dyDescent="0.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ht="48.75" customHeight="1" x14ac:dyDescent="0.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ht="42" customHeight="1" x14ac:dyDescent="0.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ht="7.5" customHeight="1" x14ac:dyDescent="0.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ht="42.75" customHeight="1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ht="37.5" customHeight="1" x14ac:dyDescent="0.45">
      <c r="T169" s="6"/>
    </row>
    <row r="170" spans="1:20" ht="6.75" customHeight="1" x14ac:dyDescent="0.45">
      <c r="T170" s="6"/>
    </row>
    <row r="171" spans="1:20" ht="24" customHeight="1" x14ac:dyDescent="0.45">
      <c r="T171" s="6"/>
    </row>
    <row r="172" spans="1:20" ht="34.5" customHeight="1" x14ac:dyDescent="0.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ht="7.5" customHeight="1" x14ac:dyDescent="0.4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ht="24" customHeight="1" x14ac:dyDescent="0.45">
      <c r="T174" s="6"/>
    </row>
    <row r="175" spans="1:20" ht="24" customHeight="1" x14ac:dyDescent="0.4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ht="6.75" customHeight="1" x14ac:dyDescent="0.4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ht="24" customHeight="1" x14ac:dyDescent="0.4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ht="39.75" customHeight="1" x14ac:dyDescent="0.4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ht="48.75" customHeight="1" x14ac:dyDescent="0.45">
      <c r="T179" s="6"/>
    </row>
    <row r="181" spans="1:20" x14ac:dyDescent="0.4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3" spans="1:20" ht="5.15" customHeight="1" x14ac:dyDescent="0.4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ht="34.5" customHeight="1" x14ac:dyDescent="0.45">
      <c r="T184" s="6"/>
    </row>
    <row r="186" spans="1:20" ht="35.25" customHeight="1" x14ac:dyDescent="0.45">
      <c r="T186" s="6"/>
    </row>
    <row r="187" spans="1:20" ht="41.25" customHeight="1" x14ac:dyDescent="0.45">
      <c r="T187" s="6"/>
    </row>
    <row r="188" spans="1:20" ht="41.25" customHeight="1" x14ac:dyDescent="0.45">
      <c r="T188" s="6"/>
    </row>
    <row r="189" spans="1:20" ht="6" customHeight="1" x14ac:dyDescent="0.45">
      <c r="T189" s="6"/>
    </row>
    <row r="192" spans="1:20" ht="5.15" customHeight="1" x14ac:dyDescent="0.45">
      <c r="T192" s="6"/>
    </row>
    <row r="194" spans="1:20" ht="24" customHeight="1" x14ac:dyDescent="0.45">
      <c r="T194" s="6"/>
    </row>
    <row r="195" spans="1:20" ht="5.15" customHeight="1" x14ac:dyDescent="0.45"/>
    <row r="198" spans="1:20" ht="5.15" customHeight="1" x14ac:dyDescent="0.45"/>
    <row r="201" spans="1:20" ht="5.15" customHeight="1" x14ac:dyDescent="0.4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spans="1:20" ht="50.15" customHeight="1" x14ac:dyDescent="0.4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spans="1:20" ht="24" customHeight="1" x14ac:dyDescent="0.4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spans="1:20" ht="6" customHeight="1" x14ac:dyDescent="0.45"/>
    <row r="207" spans="1:20" ht="10" customHeight="1" x14ac:dyDescent="0.45"/>
    <row r="208" spans="1:20" s="80" customFormat="1" ht="16.5" x14ac:dyDescent="0.5">
      <c r="A208" s="35"/>
      <c r="B208" s="35"/>
      <c r="C208" s="30"/>
      <c r="D208" s="30"/>
      <c r="E208" s="77"/>
      <c r="F208" s="35"/>
      <c r="G208" s="78"/>
      <c r="H208" s="35"/>
      <c r="I208" s="78"/>
      <c r="J208" s="35"/>
      <c r="K208" s="35"/>
      <c r="L208" s="35"/>
      <c r="M208" s="35"/>
      <c r="N208" s="35"/>
      <c r="O208" s="35"/>
      <c r="P208" s="35"/>
      <c r="Q208" s="35"/>
      <c r="R208" s="30"/>
      <c r="S208" s="30"/>
      <c r="T208" s="79"/>
    </row>
    <row r="210" spans="20:20" ht="9" customHeight="1" x14ac:dyDescent="0.45"/>
    <row r="212" spans="20:20" ht="26.25" customHeight="1" x14ac:dyDescent="0.45">
      <c r="T212" s="6"/>
    </row>
    <row r="213" spans="20:20" ht="9" customHeight="1" x14ac:dyDescent="0.45">
      <c r="T213" s="6"/>
    </row>
    <row r="214" spans="20:20" ht="19.5" customHeight="1" x14ac:dyDescent="0.45">
      <c r="T214" s="6"/>
    </row>
  </sheetData>
  <mergeCells count="23">
    <mergeCell ref="P11:P12"/>
    <mergeCell ref="G12:H12"/>
    <mergeCell ref="L11:N11"/>
    <mergeCell ref="A11:A12"/>
    <mergeCell ref="F6:L6"/>
    <mergeCell ref="O11:O12"/>
    <mergeCell ref="C90:E90"/>
    <mergeCell ref="J90:L90"/>
    <mergeCell ref="A13:S13"/>
    <mergeCell ref="Q11:Q12"/>
    <mergeCell ref="F86:G86"/>
    <mergeCell ref="D86:E86"/>
    <mergeCell ref="D11:D12"/>
    <mergeCell ref="E11:J11"/>
    <mergeCell ref="J86:L86"/>
    <mergeCell ref="I12:J12"/>
    <mergeCell ref="A1:S1"/>
    <mergeCell ref="A2:S2"/>
    <mergeCell ref="B11:C12"/>
    <mergeCell ref="F8:G8"/>
    <mergeCell ref="S11:S12"/>
    <mergeCell ref="R11:R12"/>
    <mergeCell ref="E12:F12"/>
  </mergeCells>
  <printOptions horizontalCentered="1"/>
  <pageMargins left="0" right="0" top="0" bottom="0" header="0.31496062992125984" footer="0.31496062992125984"/>
  <pageSetup paperSize="9" scale="2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zoomScale="70" zoomScaleNormal="70" zoomScaleSheetLayoutView="100" workbookViewId="0">
      <selection activeCell="G21" sqref="G21"/>
    </sheetView>
  </sheetViews>
  <sheetFormatPr defaultColWidth="9.1796875" defaultRowHeight="18" x14ac:dyDescent="0.5"/>
  <cols>
    <col min="1" max="1" width="6" style="81" customWidth="1"/>
    <col min="2" max="2" width="22.1796875" style="81" bestFit="1" customWidth="1"/>
    <col min="3" max="3" width="53.26953125" style="81" customWidth="1"/>
    <col min="4" max="4" width="17.26953125" style="81" customWidth="1"/>
    <col min="5" max="5" width="16" style="81" customWidth="1"/>
    <col min="6" max="6" width="14.54296875" style="81" customWidth="1"/>
    <col min="7" max="7" width="39" style="81" customWidth="1"/>
    <col min="8" max="8" width="28.54296875" style="81" customWidth="1"/>
    <col min="9" max="9" width="15" style="81" bestFit="1" customWidth="1"/>
    <col min="10" max="16384" width="9.1796875" style="81"/>
  </cols>
  <sheetData>
    <row r="1" spans="1:9" ht="19.5" x14ac:dyDescent="0.5">
      <c r="A1" s="311" t="s">
        <v>25</v>
      </c>
      <c r="B1" s="311"/>
      <c r="C1" s="311"/>
      <c r="D1" s="311"/>
      <c r="E1" s="311"/>
      <c r="F1" s="311"/>
      <c r="G1" s="311"/>
      <c r="H1" s="311"/>
      <c r="I1" s="83"/>
    </row>
    <row r="2" spans="1:9" ht="19.5" x14ac:dyDescent="0.5">
      <c r="A2" s="312" t="str">
        <f>BOM!A2</f>
        <v>( Sample )</v>
      </c>
      <c r="B2" s="312"/>
      <c r="C2" s="312"/>
      <c r="D2" s="312"/>
      <c r="E2" s="312"/>
      <c r="F2" s="312"/>
      <c r="G2" s="312"/>
      <c r="H2" s="312"/>
    </row>
    <row r="3" spans="1:9" x14ac:dyDescent="0.5">
      <c r="A3" s="84"/>
      <c r="B3" s="84"/>
      <c r="C3" s="84"/>
      <c r="D3" s="84"/>
      <c r="E3" s="84"/>
      <c r="F3" s="84"/>
      <c r="G3" s="84"/>
      <c r="H3" s="83"/>
    </row>
    <row r="4" spans="1:9" s="85" customFormat="1" ht="25" customHeight="1" x14ac:dyDescent="0.6">
      <c r="A4" s="86"/>
      <c r="B4" s="87" t="s">
        <v>2</v>
      </c>
      <c r="C4" s="88" t="str">
        <f>BOM!F3</f>
        <v>GABBY</v>
      </c>
      <c r="E4" s="89"/>
      <c r="F4" s="90"/>
      <c r="G4" s="91"/>
      <c r="H4" s="92"/>
    </row>
    <row r="5" spans="1:9" s="85" customFormat="1" ht="25" customHeight="1" x14ac:dyDescent="0.6">
      <c r="A5" s="86"/>
      <c r="B5" s="87" t="s">
        <v>26</v>
      </c>
      <c r="C5" s="93" t="str">
        <f>BOM!F5</f>
        <v>NT-325-2</v>
      </c>
      <c r="E5" s="93"/>
      <c r="F5" s="93"/>
      <c r="G5" s="93"/>
      <c r="H5" s="93"/>
      <c r="I5" s="93"/>
    </row>
    <row r="6" spans="1:9" s="85" customFormat="1" ht="25" customHeight="1" x14ac:dyDescent="0.6">
      <c r="A6" s="86"/>
      <c r="B6" s="87" t="s">
        <v>3</v>
      </c>
      <c r="C6" s="88" t="str">
        <f>BOM!F4</f>
        <v>HAMBLIN BARSTOOL</v>
      </c>
      <c r="E6" s="89"/>
      <c r="F6" s="90"/>
      <c r="G6" s="91"/>
      <c r="H6" s="92"/>
    </row>
    <row r="7" spans="1:9" s="85" customFormat="1" ht="25" customHeight="1" x14ac:dyDescent="0.6">
      <c r="A7" s="86"/>
      <c r="B7" s="87" t="s">
        <v>5</v>
      </c>
      <c r="C7" s="88" t="str">
        <f>BOM!F6</f>
        <v>: 542 mm x 612 mm x 1215 mm</v>
      </c>
      <c r="E7" s="94"/>
      <c r="F7" s="93"/>
      <c r="G7" s="93"/>
      <c r="H7" s="93"/>
    </row>
    <row r="8" spans="1:9" s="85" customFormat="1" ht="25" customHeight="1" x14ac:dyDescent="0.6">
      <c r="A8" s="86"/>
      <c r="B8" s="87" t="s">
        <v>27</v>
      </c>
      <c r="C8" s="88" t="s">
        <v>28</v>
      </c>
      <c r="E8" s="88"/>
      <c r="F8" s="90"/>
      <c r="G8" s="91"/>
      <c r="H8" s="92"/>
    </row>
    <row r="9" spans="1:9" s="85" customFormat="1" ht="25" customHeight="1" x14ac:dyDescent="0.6">
      <c r="A9" s="95"/>
      <c r="B9" s="87" t="s">
        <v>29</v>
      </c>
      <c r="C9" s="130" t="str">
        <f>BOM!F7</f>
        <v>4 Oktober 2026</v>
      </c>
      <c r="E9" s="88"/>
      <c r="F9" s="90"/>
      <c r="G9" s="91"/>
      <c r="H9" s="92"/>
    </row>
    <row r="10" spans="1:9" s="85" customFormat="1" ht="25" customHeight="1" x14ac:dyDescent="0.6">
      <c r="A10" s="95"/>
      <c r="B10" s="87" t="s">
        <v>7</v>
      </c>
      <c r="C10" s="96">
        <v>1</v>
      </c>
      <c r="D10" s="96"/>
      <c r="F10" s="90"/>
      <c r="G10" s="91"/>
      <c r="H10" s="92"/>
    </row>
    <row r="11" spans="1:9" ht="20.25" customHeight="1" thickBot="1" x14ac:dyDescent="0.55000000000000004">
      <c r="A11" s="97"/>
      <c r="B11" s="97"/>
      <c r="C11" s="98"/>
      <c r="D11" s="99"/>
      <c r="E11" s="99"/>
      <c r="F11" s="100"/>
      <c r="G11" s="101"/>
      <c r="H11" s="102"/>
    </row>
    <row r="12" spans="1:9" ht="20" thickBot="1" x14ac:dyDescent="0.55000000000000004">
      <c r="A12" s="131" t="s">
        <v>9</v>
      </c>
      <c r="B12" s="131" t="s">
        <v>30</v>
      </c>
      <c r="C12" s="131" t="s">
        <v>31</v>
      </c>
      <c r="D12" s="132" t="s">
        <v>32</v>
      </c>
      <c r="E12" s="132" t="s">
        <v>15</v>
      </c>
      <c r="F12" s="131" t="s">
        <v>33</v>
      </c>
      <c r="G12" s="133" t="s">
        <v>34</v>
      </c>
      <c r="H12" s="134" t="s">
        <v>0</v>
      </c>
      <c r="I12" s="103"/>
    </row>
    <row r="13" spans="1:9" s="125" customFormat="1" ht="35.15" customHeight="1" thickBot="1" x14ac:dyDescent="0.5">
      <c r="A13" s="314" t="s">
        <v>77</v>
      </c>
      <c r="B13" s="315"/>
      <c r="C13" s="315"/>
      <c r="D13" s="315"/>
      <c r="E13" s="315"/>
      <c r="F13" s="315"/>
      <c r="G13" s="315"/>
      <c r="H13" s="316"/>
    </row>
    <row r="14" spans="1:9" s="125" customFormat="1" ht="35.15" customHeight="1" x14ac:dyDescent="0.5">
      <c r="A14" s="277">
        <v>1</v>
      </c>
      <c r="B14" s="278" t="s">
        <v>82</v>
      </c>
      <c r="C14" s="278" t="s">
        <v>83</v>
      </c>
      <c r="D14" s="279">
        <v>8</v>
      </c>
      <c r="E14" s="279">
        <f>D14</f>
        <v>8</v>
      </c>
      <c r="F14" s="280" t="s">
        <v>76</v>
      </c>
      <c r="G14" s="281" t="s">
        <v>123</v>
      </c>
      <c r="H14" s="282"/>
    </row>
    <row r="15" spans="1:9" s="125" customFormat="1" ht="35.15" customHeight="1" x14ac:dyDescent="0.5">
      <c r="A15" s="246">
        <v>3</v>
      </c>
      <c r="B15" s="272" t="s">
        <v>95</v>
      </c>
      <c r="C15" s="272" t="s">
        <v>96</v>
      </c>
      <c r="D15" s="247">
        <v>2</v>
      </c>
      <c r="E15" s="247">
        <v>2</v>
      </c>
      <c r="F15" s="248" t="s">
        <v>97</v>
      </c>
      <c r="G15" s="249" t="s">
        <v>124</v>
      </c>
      <c r="H15" s="271"/>
    </row>
    <row r="16" spans="1:9" s="125" customFormat="1" ht="35.15" customHeight="1" x14ac:dyDescent="0.5">
      <c r="A16" s="246">
        <v>4</v>
      </c>
      <c r="B16" s="270" t="s">
        <v>115</v>
      </c>
      <c r="C16" s="270" t="s">
        <v>116</v>
      </c>
      <c r="D16" s="247">
        <v>4</v>
      </c>
      <c r="E16" s="247">
        <f>D16*$C$10</f>
        <v>4</v>
      </c>
      <c r="F16" s="248" t="s">
        <v>97</v>
      </c>
      <c r="G16" s="249" t="s">
        <v>98</v>
      </c>
      <c r="H16" s="271"/>
    </row>
    <row r="17" spans="1:15" s="125" customFormat="1" ht="35.15" customHeight="1" x14ac:dyDescent="0.5">
      <c r="A17" s="246">
        <v>5</v>
      </c>
      <c r="B17" s="269" t="s">
        <v>113</v>
      </c>
      <c r="C17" s="269" t="s">
        <v>114</v>
      </c>
      <c r="D17" s="247">
        <v>2</v>
      </c>
      <c r="E17" s="247">
        <f>D17*$C$10</f>
        <v>2</v>
      </c>
      <c r="F17" s="248" t="s">
        <v>97</v>
      </c>
      <c r="G17" s="249" t="s">
        <v>125</v>
      </c>
      <c r="H17" s="271"/>
    </row>
    <row r="18" spans="1:15" s="125" customFormat="1" ht="35.15" customHeight="1" x14ac:dyDescent="0.5">
      <c r="A18" s="246">
        <v>6</v>
      </c>
      <c r="B18" s="270" t="s">
        <v>117</v>
      </c>
      <c r="C18" s="270" t="s">
        <v>118</v>
      </c>
      <c r="D18" s="247">
        <v>4</v>
      </c>
      <c r="E18" s="247">
        <f>D18*$C$10</f>
        <v>4</v>
      </c>
      <c r="F18" s="248" t="s">
        <v>97</v>
      </c>
      <c r="G18" s="249" t="s">
        <v>98</v>
      </c>
      <c r="H18" s="271"/>
    </row>
    <row r="19" spans="1:15" s="125" customFormat="1" ht="35.15" customHeight="1" x14ac:dyDescent="0.5">
      <c r="A19" s="246">
        <v>7</v>
      </c>
      <c r="B19" s="268" t="s">
        <v>119</v>
      </c>
      <c r="C19" s="268" t="s">
        <v>120</v>
      </c>
      <c r="D19" s="247">
        <v>2</v>
      </c>
      <c r="E19" s="247">
        <f>D19*$C$10</f>
        <v>2</v>
      </c>
      <c r="F19" s="248" t="s">
        <v>97</v>
      </c>
      <c r="G19" s="249" t="s">
        <v>121</v>
      </c>
      <c r="H19" s="271"/>
    </row>
    <row r="20" spans="1:15" s="125" customFormat="1" ht="35.15" customHeight="1" x14ac:dyDescent="0.5">
      <c r="A20" s="246">
        <v>8</v>
      </c>
      <c r="B20" s="245"/>
      <c r="C20" s="272" t="s">
        <v>141</v>
      </c>
      <c r="D20" s="247">
        <v>2</v>
      </c>
      <c r="E20" s="247">
        <v>2</v>
      </c>
      <c r="F20" s="248" t="s">
        <v>97</v>
      </c>
      <c r="G20" s="249" t="s">
        <v>122</v>
      </c>
      <c r="H20" s="283"/>
    </row>
    <row r="21" spans="1:15" s="125" customFormat="1" ht="35.15" customHeight="1" thickBot="1" x14ac:dyDescent="0.5">
      <c r="A21" s="284">
        <v>9</v>
      </c>
      <c r="B21" s="285"/>
      <c r="C21" s="287" t="s">
        <v>142</v>
      </c>
      <c r="D21" s="285">
        <v>1</v>
      </c>
      <c r="E21" s="285">
        <v>1</v>
      </c>
      <c r="F21" s="248" t="s">
        <v>97</v>
      </c>
      <c r="G21" s="287" t="s">
        <v>143</v>
      </c>
      <c r="H21" s="286"/>
    </row>
    <row r="22" spans="1:15" s="125" customFormat="1" ht="35.15" customHeight="1" thickBot="1" x14ac:dyDescent="0.5">
      <c r="A22" s="317" t="s">
        <v>38</v>
      </c>
      <c r="B22" s="318"/>
      <c r="C22" s="318"/>
      <c r="D22" s="318"/>
      <c r="E22" s="318"/>
      <c r="F22" s="318"/>
      <c r="G22" s="318"/>
      <c r="H22" s="319"/>
    </row>
    <row r="23" spans="1:15" s="125" customFormat="1" ht="35.15" customHeight="1" thickBot="1" x14ac:dyDescent="0.5">
      <c r="A23" s="246">
        <v>1</v>
      </c>
      <c r="B23" s="245" t="s">
        <v>79</v>
      </c>
      <c r="C23" s="245" t="s">
        <v>80</v>
      </c>
      <c r="D23" s="247">
        <v>4</v>
      </c>
      <c r="E23" s="247">
        <f>D23</f>
        <v>4</v>
      </c>
      <c r="F23" s="248" t="s">
        <v>76</v>
      </c>
      <c r="G23" s="249" t="s">
        <v>78</v>
      </c>
      <c r="H23" s="250"/>
    </row>
    <row r="24" spans="1:15" s="125" customFormat="1" ht="35.15" customHeight="1" thickBot="1" x14ac:dyDescent="0.5">
      <c r="A24" s="314" t="s">
        <v>71</v>
      </c>
      <c r="B24" s="315"/>
      <c r="C24" s="315"/>
      <c r="D24" s="315"/>
      <c r="E24" s="315"/>
      <c r="F24" s="315"/>
      <c r="G24" s="315"/>
      <c r="H24" s="316"/>
    </row>
    <row r="25" spans="1:15" s="125" customFormat="1" ht="35.15" customHeight="1" x14ac:dyDescent="0.45">
      <c r="A25" s="246">
        <v>1</v>
      </c>
      <c r="B25" s="245"/>
      <c r="C25" s="245" t="s">
        <v>110</v>
      </c>
      <c r="D25" s="247">
        <v>1</v>
      </c>
      <c r="E25" s="247">
        <v>1</v>
      </c>
      <c r="F25" s="248" t="s">
        <v>111</v>
      </c>
      <c r="G25" s="249" t="s">
        <v>112</v>
      </c>
      <c r="H25" s="250"/>
    </row>
    <row r="26" spans="1:15" s="125" customFormat="1" ht="35.15" customHeight="1" thickBot="1" x14ac:dyDescent="0.5">
      <c r="A26" s="246">
        <v>2</v>
      </c>
      <c r="B26" s="245"/>
      <c r="C26" s="245"/>
      <c r="D26" s="247"/>
      <c r="E26" s="247"/>
      <c r="F26" s="248"/>
      <c r="G26" s="249"/>
      <c r="H26" s="250"/>
    </row>
    <row r="27" spans="1:15" s="125" customFormat="1" ht="35.15" customHeight="1" thickBot="1" x14ac:dyDescent="0.5">
      <c r="A27" s="314" t="s">
        <v>39</v>
      </c>
      <c r="B27" s="315"/>
      <c r="C27" s="315"/>
      <c r="D27" s="315"/>
      <c r="E27" s="315"/>
      <c r="F27" s="315"/>
      <c r="G27" s="315"/>
      <c r="H27" s="316"/>
    </row>
    <row r="28" spans="1:15" x14ac:dyDescent="0.5">
      <c r="A28" s="104"/>
      <c r="B28" s="104"/>
      <c r="C28" s="104"/>
      <c r="D28" s="104"/>
      <c r="E28" s="104"/>
      <c r="F28" s="104"/>
      <c r="G28" s="104"/>
      <c r="H28" s="104"/>
      <c r="I28" s="103"/>
    </row>
    <row r="29" spans="1:15" x14ac:dyDescent="0.5">
      <c r="A29" s="104"/>
      <c r="B29" s="104"/>
      <c r="C29" s="104"/>
      <c r="D29" s="104"/>
      <c r="E29" s="104"/>
      <c r="F29" s="104"/>
      <c r="G29" s="115" t="str">
        <f>BOM!R85</f>
        <v>Sidoarjo,4 Oktober 2026</v>
      </c>
      <c r="H29" s="104"/>
      <c r="I29" s="103"/>
    </row>
    <row r="30" spans="1:15" ht="23.25" customHeight="1" x14ac:dyDescent="0.5">
      <c r="A30" s="104"/>
      <c r="B30" s="82" t="s">
        <v>22</v>
      </c>
      <c r="C30" s="113"/>
      <c r="D30" s="82" t="s">
        <v>53</v>
      </c>
      <c r="E30" s="82"/>
      <c r="F30" s="105"/>
      <c r="G30" s="82" t="s">
        <v>23</v>
      </c>
      <c r="H30" s="82"/>
      <c r="I30" s="82"/>
      <c r="K30" s="104"/>
      <c r="L30" s="104"/>
      <c r="M30" s="104"/>
      <c r="N30" s="104"/>
      <c r="O30" s="106"/>
    </row>
    <row r="31" spans="1:15" ht="36.75" customHeight="1" x14ac:dyDescent="0.5">
      <c r="A31" s="104"/>
      <c r="B31" s="107"/>
      <c r="C31" s="114"/>
      <c r="D31" s="108"/>
      <c r="E31" s="108"/>
      <c r="F31" s="109"/>
      <c r="G31" s="107"/>
      <c r="H31" s="107"/>
      <c r="K31" s="108"/>
      <c r="L31" s="108"/>
      <c r="M31" s="108"/>
      <c r="N31" s="108"/>
      <c r="O31" s="108"/>
    </row>
    <row r="32" spans="1:15" x14ac:dyDescent="0.5">
      <c r="A32" s="104"/>
      <c r="B32" s="107" t="s">
        <v>24</v>
      </c>
      <c r="C32" s="114"/>
      <c r="D32" s="107" t="s">
        <v>70</v>
      </c>
      <c r="E32" s="107"/>
      <c r="F32" s="109"/>
      <c r="G32" s="107" t="str">
        <f>BOM!R90</f>
        <v>Alwy</v>
      </c>
      <c r="H32" s="107"/>
      <c r="K32" s="108"/>
      <c r="L32" s="108"/>
      <c r="M32" s="108"/>
      <c r="N32" s="108"/>
      <c r="O32" s="108"/>
    </row>
    <row r="33" spans="1:9" x14ac:dyDescent="0.5">
      <c r="A33" s="104"/>
      <c r="B33" s="104"/>
      <c r="C33" s="104"/>
      <c r="D33" s="104"/>
      <c r="E33" s="104"/>
      <c r="F33" s="104"/>
      <c r="G33" s="104"/>
      <c r="H33" s="104"/>
      <c r="I33" s="103"/>
    </row>
    <row r="34" spans="1:9" x14ac:dyDescent="0.5">
      <c r="A34" s="104"/>
      <c r="B34" s="104"/>
      <c r="C34" s="104"/>
      <c r="D34" s="104"/>
      <c r="E34" s="104"/>
      <c r="F34" s="104"/>
      <c r="G34" s="104"/>
      <c r="H34" s="104"/>
      <c r="I34" s="103"/>
    </row>
    <row r="35" spans="1:9" x14ac:dyDescent="0.5">
      <c r="A35" s="104"/>
      <c r="B35" s="104"/>
      <c r="C35" s="104"/>
      <c r="D35" s="104"/>
      <c r="E35" s="104"/>
      <c r="F35" s="104"/>
      <c r="G35" s="104"/>
      <c r="H35" s="104"/>
      <c r="I35" s="103"/>
    </row>
    <row r="36" spans="1:9" x14ac:dyDescent="0.5">
      <c r="A36" s="104"/>
      <c r="B36" s="104"/>
      <c r="C36" s="104"/>
      <c r="D36" s="104"/>
      <c r="E36" s="104"/>
      <c r="F36" s="104"/>
      <c r="G36" s="104"/>
      <c r="H36" s="104"/>
      <c r="I36" s="103"/>
    </row>
    <row r="37" spans="1:9" x14ac:dyDescent="0.5">
      <c r="A37" s="104"/>
      <c r="B37" s="104"/>
      <c r="C37" s="104"/>
      <c r="D37" s="104"/>
      <c r="E37" s="104"/>
      <c r="F37" s="104"/>
      <c r="G37" s="104"/>
      <c r="H37" s="104"/>
      <c r="I37" s="103"/>
    </row>
    <row r="38" spans="1:9" x14ac:dyDescent="0.5">
      <c r="A38" s="104"/>
      <c r="B38" s="104"/>
      <c r="C38" s="104"/>
      <c r="D38" s="104"/>
      <c r="E38" s="104"/>
      <c r="F38" s="104"/>
      <c r="G38" s="104"/>
      <c r="H38" s="104"/>
      <c r="I38" s="103"/>
    </row>
    <row r="39" spans="1:9" x14ac:dyDescent="0.5">
      <c r="A39" s="104"/>
      <c r="B39" s="104"/>
      <c r="C39" s="104"/>
      <c r="D39" s="104"/>
      <c r="E39" s="104"/>
      <c r="F39" s="104"/>
      <c r="G39" s="104"/>
      <c r="H39" s="104"/>
      <c r="I39" s="103"/>
    </row>
    <row r="40" spans="1:9" x14ac:dyDescent="0.5">
      <c r="A40" s="104"/>
      <c r="B40" s="104"/>
      <c r="C40" s="104"/>
      <c r="D40" s="104"/>
      <c r="E40" s="104"/>
      <c r="F40" s="104"/>
      <c r="G40" s="104"/>
      <c r="H40" s="104"/>
      <c r="I40" s="103"/>
    </row>
    <row r="41" spans="1:9" x14ac:dyDescent="0.5">
      <c r="A41" s="104"/>
      <c r="B41" s="104"/>
      <c r="C41" s="104"/>
      <c r="D41" s="104"/>
      <c r="E41" s="104"/>
      <c r="F41" s="104"/>
      <c r="G41" s="104"/>
      <c r="H41" s="104"/>
      <c r="I41" s="103"/>
    </row>
    <row r="42" spans="1:9" x14ac:dyDescent="0.5">
      <c r="A42" s="104"/>
      <c r="B42" s="104"/>
      <c r="C42" s="104"/>
      <c r="D42" s="104"/>
      <c r="E42" s="104"/>
      <c r="F42" s="104"/>
      <c r="G42" s="104"/>
      <c r="H42" s="104"/>
      <c r="I42" s="103"/>
    </row>
    <row r="43" spans="1:9" x14ac:dyDescent="0.5">
      <c r="A43" s="104"/>
      <c r="B43" s="104"/>
      <c r="C43" s="104"/>
      <c r="D43" s="104"/>
      <c r="E43" s="104"/>
      <c r="F43" s="104"/>
      <c r="G43" s="104"/>
      <c r="H43" s="104"/>
      <c r="I43" s="103"/>
    </row>
    <row r="44" spans="1:9" x14ac:dyDescent="0.5">
      <c r="A44" s="104"/>
      <c r="B44" s="104"/>
      <c r="C44" s="104"/>
      <c r="D44" s="104"/>
      <c r="E44" s="104"/>
      <c r="F44" s="104"/>
      <c r="G44" s="104"/>
      <c r="H44" s="104"/>
      <c r="I44" s="103"/>
    </row>
    <row r="45" spans="1:9" x14ac:dyDescent="0.5">
      <c r="A45" s="104"/>
      <c r="B45" s="104"/>
      <c r="C45" s="104"/>
      <c r="D45" s="104"/>
      <c r="E45" s="104"/>
      <c r="F45" s="104"/>
      <c r="G45" s="104"/>
      <c r="H45" s="104"/>
      <c r="I45" s="103"/>
    </row>
    <row r="46" spans="1:9" x14ac:dyDescent="0.5">
      <c r="A46" s="104"/>
      <c r="B46" s="104"/>
      <c r="C46" s="104"/>
      <c r="D46" s="104"/>
      <c r="E46" s="104"/>
      <c r="F46" s="104"/>
      <c r="G46" s="104"/>
      <c r="H46" s="104"/>
      <c r="I46" s="103"/>
    </row>
    <row r="47" spans="1:9" x14ac:dyDescent="0.5">
      <c r="A47" s="104"/>
      <c r="B47" s="104"/>
      <c r="C47" s="104"/>
      <c r="D47" s="104"/>
      <c r="E47" s="104"/>
      <c r="F47" s="104"/>
      <c r="G47" s="104"/>
      <c r="H47" s="104"/>
      <c r="I47" s="103"/>
    </row>
    <row r="48" spans="1:9" x14ac:dyDescent="0.5">
      <c r="A48" s="104"/>
      <c r="B48" s="104"/>
      <c r="C48" s="104"/>
      <c r="D48" s="104"/>
      <c r="E48" s="104"/>
      <c r="F48" s="104"/>
      <c r="G48" s="104"/>
      <c r="H48" s="104"/>
      <c r="I48" s="103"/>
    </row>
    <row r="49" spans="1:9" x14ac:dyDescent="0.5">
      <c r="A49" s="104"/>
      <c r="B49" s="104"/>
      <c r="C49" s="104"/>
      <c r="D49" s="104"/>
      <c r="E49" s="104"/>
      <c r="F49" s="104"/>
      <c r="G49" s="104"/>
      <c r="H49" s="104"/>
      <c r="I49" s="103"/>
    </row>
    <row r="50" spans="1:9" x14ac:dyDescent="0.5">
      <c r="A50" s="104"/>
      <c r="B50" s="104"/>
      <c r="C50" s="104"/>
      <c r="D50" s="104"/>
      <c r="E50" s="104"/>
      <c r="F50" s="104"/>
      <c r="G50" s="104"/>
      <c r="H50" s="104"/>
      <c r="I50" s="103"/>
    </row>
    <row r="51" spans="1:9" x14ac:dyDescent="0.5">
      <c r="A51" s="104"/>
      <c r="B51" s="104"/>
      <c r="C51" s="104"/>
      <c r="D51" s="104"/>
      <c r="E51" s="104"/>
      <c r="F51" s="104"/>
      <c r="G51" s="104"/>
      <c r="H51" s="104"/>
      <c r="I51" s="103"/>
    </row>
    <row r="52" spans="1:9" x14ac:dyDescent="0.5">
      <c r="A52" s="104"/>
      <c r="B52" s="104"/>
      <c r="C52" s="104"/>
      <c r="D52" s="104"/>
      <c r="E52" s="104"/>
      <c r="F52" s="104"/>
      <c r="G52" s="104"/>
      <c r="H52" s="104"/>
      <c r="I52" s="103"/>
    </row>
    <row r="53" spans="1:9" x14ac:dyDescent="0.5">
      <c r="A53" s="104"/>
      <c r="B53" s="104"/>
      <c r="C53" s="104"/>
      <c r="D53" s="104"/>
      <c r="E53" s="104"/>
      <c r="F53" s="104"/>
      <c r="G53" s="104"/>
      <c r="H53" s="104"/>
      <c r="I53" s="103"/>
    </row>
    <row r="54" spans="1:9" x14ac:dyDescent="0.5">
      <c r="A54" s="104"/>
      <c r="B54" s="104"/>
      <c r="C54" s="104"/>
      <c r="D54" s="104"/>
      <c r="E54" s="104"/>
      <c r="F54" s="104"/>
      <c r="G54" s="104"/>
      <c r="H54" s="104"/>
      <c r="I54" s="103"/>
    </row>
    <row r="55" spans="1:9" x14ac:dyDescent="0.5">
      <c r="A55" s="104"/>
      <c r="B55" s="104"/>
      <c r="C55" s="104"/>
      <c r="D55" s="104"/>
      <c r="E55" s="104"/>
      <c r="F55" s="104"/>
      <c r="G55" s="104"/>
      <c r="H55" s="104"/>
      <c r="I55" s="103"/>
    </row>
    <row r="56" spans="1:9" x14ac:dyDescent="0.5">
      <c r="A56" s="104"/>
      <c r="B56" s="104"/>
      <c r="C56" s="104"/>
      <c r="D56" s="104"/>
      <c r="E56" s="104"/>
      <c r="F56" s="104"/>
      <c r="G56" s="104"/>
      <c r="H56" s="104"/>
      <c r="I56" s="103"/>
    </row>
    <row r="57" spans="1:9" x14ac:dyDescent="0.5">
      <c r="A57" s="104"/>
      <c r="B57" s="104"/>
      <c r="C57" s="104"/>
      <c r="D57" s="104"/>
      <c r="E57" s="104"/>
      <c r="F57" s="104"/>
      <c r="G57" s="104"/>
      <c r="H57" s="104"/>
      <c r="I57" s="103"/>
    </row>
    <row r="58" spans="1:9" x14ac:dyDescent="0.5">
      <c r="A58" s="104"/>
      <c r="B58" s="104"/>
      <c r="C58" s="104"/>
      <c r="D58" s="104"/>
      <c r="E58" s="104"/>
      <c r="F58" s="104"/>
      <c r="G58" s="104"/>
      <c r="H58" s="104"/>
      <c r="I58" s="103"/>
    </row>
    <row r="59" spans="1:9" x14ac:dyDescent="0.5">
      <c r="A59" s="104"/>
      <c r="B59" s="104"/>
      <c r="C59" s="104"/>
      <c r="D59" s="104"/>
      <c r="E59" s="104"/>
      <c r="F59" s="104"/>
      <c r="G59" s="104"/>
      <c r="H59" s="104"/>
      <c r="I59" s="103"/>
    </row>
    <row r="60" spans="1:9" x14ac:dyDescent="0.5">
      <c r="A60" s="104"/>
      <c r="B60" s="104"/>
      <c r="C60" s="104"/>
      <c r="D60" s="104"/>
      <c r="E60" s="104"/>
      <c r="F60" s="104"/>
      <c r="G60" s="104"/>
      <c r="H60" s="104"/>
      <c r="I60" s="103"/>
    </row>
    <row r="61" spans="1:9" x14ac:dyDescent="0.5">
      <c r="A61" s="104"/>
      <c r="B61" s="104"/>
      <c r="C61" s="104"/>
      <c r="D61" s="104"/>
      <c r="E61" s="104"/>
      <c r="F61" s="104"/>
      <c r="G61" s="104"/>
      <c r="H61" s="104"/>
      <c r="I61" s="103"/>
    </row>
    <row r="62" spans="1:9" x14ac:dyDescent="0.5">
      <c r="A62" s="104"/>
      <c r="B62" s="104"/>
      <c r="C62" s="104"/>
      <c r="D62" s="104"/>
      <c r="E62" s="104"/>
      <c r="F62" s="104"/>
      <c r="G62" s="104"/>
      <c r="H62" s="104"/>
      <c r="I62" s="103"/>
    </row>
    <row r="63" spans="1:9" x14ac:dyDescent="0.5">
      <c r="A63" s="104"/>
      <c r="B63" s="104"/>
      <c r="C63" s="104"/>
      <c r="D63" s="104"/>
      <c r="E63" s="104"/>
      <c r="F63" s="104"/>
      <c r="G63" s="104"/>
      <c r="H63" s="104"/>
      <c r="I63" s="103"/>
    </row>
    <row r="64" spans="1:9" x14ac:dyDescent="0.5">
      <c r="A64" s="104"/>
      <c r="B64" s="104"/>
      <c r="C64" s="104"/>
      <c r="D64" s="104"/>
      <c r="E64" s="104"/>
      <c r="F64" s="104"/>
      <c r="G64" s="104"/>
      <c r="H64" s="104"/>
      <c r="I64" s="103"/>
    </row>
    <row r="65" spans="1:9" x14ac:dyDescent="0.5">
      <c r="A65" s="104"/>
      <c r="B65" s="104"/>
      <c r="C65" s="104"/>
      <c r="D65" s="104"/>
      <c r="E65" s="104"/>
      <c r="F65" s="104"/>
      <c r="G65" s="104"/>
      <c r="H65" s="104"/>
      <c r="I65" s="103"/>
    </row>
    <row r="66" spans="1:9" x14ac:dyDescent="0.5">
      <c r="A66" s="104"/>
      <c r="B66" s="104"/>
      <c r="C66" s="104"/>
      <c r="D66" s="104"/>
      <c r="E66" s="104"/>
      <c r="F66" s="104"/>
      <c r="G66" s="104"/>
      <c r="H66" s="104"/>
      <c r="I66" s="103"/>
    </row>
    <row r="67" spans="1:9" x14ac:dyDescent="0.5">
      <c r="A67" s="104"/>
      <c r="B67" s="104"/>
      <c r="C67" s="104"/>
      <c r="D67" s="104"/>
      <c r="E67" s="104"/>
      <c r="F67" s="104"/>
      <c r="G67" s="104"/>
      <c r="H67" s="104"/>
      <c r="I67" s="103"/>
    </row>
    <row r="68" spans="1:9" x14ac:dyDescent="0.5">
      <c r="A68" s="104"/>
      <c r="B68" s="104"/>
      <c r="C68" s="104"/>
      <c r="D68" s="104"/>
      <c r="E68" s="104"/>
      <c r="F68" s="104"/>
      <c r="G68" s="104"/>
      <c r="H68" s="104"/>
      <c r="I68" s="103"/>
    </row>
    <row r="69" spans="1:9" x14ac:dyDescent="0.5">
      <c r="A69" s="104"/>
      <c r="B69" s="104"/>
      <c r="C69" s="104"/>
      <c r="D69" s="104"/>
      <c r="E69" s="104"/>
      <c r="F69" s="104"/>
      <c r="G69" s="104"/>
      <c r="H69" s="104"/>
      <c r="I69" s="103"/>
    </row>
    <row r="70" spans="1:9" s="85" customFormat="1" ht="19.5" x14ac:dyDescent="0.6">
      <c r="A70" s="82"/>
      <c r="B70" s="82"/>
      <c r="C70" s="82"/>
      <c r="D70" s="105"/>
      <c r="E70" s="105"/>
      <c r="F70" s="82"/>
      <c r="G70" s="110"/>
      <c r="H70" s="82"/>
    </row>
    <row r="71" spans="1:9" s="85" customFormat="1" ht="19.5" x14ac:dyDescent="0.6">
      <c r="A71" s="313"/>
      <c r="B71" s="313"/>
      <c r="C71" s="111"/>
      <c r="D71" s="105"/>
      <c r="E71" s="105"/>
      <c r="F71" s="82"/>
      <c r="G71" s="82"/>
      <c r="H71" s="82"/>
    </row>
    <row r="72" spans="1:9" s="85" customFormat="1" ht="19.5" x14ac:dyDescent="0.6">
      <c r="A72" s="82"/>
      <c r="B72" s="82"/>
      <c r="D72" s="105"/>
      <c r="E72" s="105"/>
      <c r="F72" s="82"/>
      <c r="G72" s="82"/>
      <c r="H72" s="82"/>
    </row>
    <row r="73" spans="1:9" s="85" customFormat="1" ht="19.5" x14ac:dyDescent="0.6">
      <c r="A73" s="82"/>
      <c r="B73" s="82"/>
      <c r="D73" s="105"/>
      <c r="E73" s="105"/>
      <c r="F73" s="82"/>
      <c r="G73" s="82"/>
      <c r="H73" s="82"/>
    </row>
    <row r="74" spans="1:9" s="85" customFormat="1" ht="19.5" x14ac:dyDescent="0.6">
      <c r="A74" s="82"/>
      <c r="B74" s="82"/>
      <c r="D74" s="105"/>
      <c r="E74" s="105"/>
      <c r="F74" s="82"/>
      <c r="G74" s="82"/>
      <c r="H74" s="82"/>
    </row>
    <row r="75" spans="1:9" s="85" customFormat="1" ht="19.5" x14ac:dyDescent="0.6">
      <c r="A75" s="313"/>
      <c r="B75" s="313"/>
      <c r="C75" s="111"/>
      <c r="D75" s="105"/>
      <c r="E75" s="105"/>
      <c r="F75" s="82"/>
      <c r="G75" s="82"/>
      <c r="H75" s="82"/>
    </row>
  </sheetData>
  <mergeCells count="8">
    <mergeCell ref="A1:H1"/>
    <mergeCell ref="A2:H2"/>
    <mergeCell ref="A71:B71"/>
    <mergeCell ref="A75:B75"/>
    <mergeCell ref="A13:H13"/>
    <mergeCell ref="A27:H27"/>
    <mergeCell ref="A24:H24"/>
    <mergeCell ref="A22:H22"/>
  </mergeCells>
  <dataValidations count="2">
    <dataValidation type="textLength" operator="equal" allowBlank="1" showInputMessage="1" showErrorMessage="1" sqref="B23 B14:B20">
      <formula1>11</formula1>
    </dataValidation>
    <dataValidation type="textLength" allowBlank="1" showInputMessage="1" showErrorMessage="1" error="MAX 40 KARAKTER" sqref="C20 C16">
      <formula1>10</formula1>
      <formula2>40</formula2>
    </dataValidation>
  </dataValidations>
  <pageMargins left="0" right="0" top="0" bottom="0" header="0.31496062992125984" footer="0.31496062992125984"/>
  <pageSetup paperSize="9"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274"/>
  <sheetViews>
    <sheetView zoomScale="85" zoomScaleNormal="85" zoomScaleSheetLayoutView="70" workbookViewId="0">
      <selection activeCell="M7" sqref="M7"/>
    </sheetView>
  </sheetViews>
  <sheetFormatPr defaultColWidth="9.1796875" defaultRowHeight="13" outlineLevelCol="1" x14ac:dyDescent="0.3"/>
  <cols>
    <col min="1" max="1" width="5.7265625" style="158" customWidth="1"/>
    <col min="2" max="2" width="23.54296875" style="154" customWidth="1"/>
    <col min="3" max="3" width="52.81640625" style="154" customWidth="1"/>
    <col min="4" max="4" width="9.1796875" style="157" customWidth="1" outlineLevel="1"/>
    <col min="5" max="5" width="10.7265625" style="154" customWidth="1"/>
    <col min="6" max="6" width="10.7265625" style="157" customWidth="1"/>
    <col min="7" max="8" width="10.7265625" style="154" customWidth="1"/>
    <col min="9" max="9" width="10.7265625" style="156" customWidth="1"/>
    <col min="10" max="10" width="35" style="156" bestFit="1" customWidth="1"/>
    <col min="11" max="11" width="22" style="156" bestFit="1" customWidth="1"/>
    <col min="12" max="12" width="7.453125" style="156" customWidth="1"/>
    <col min="13" max="13" width="6.81640625" style="156" customWidth="1"/>
    <col min="14" max="14" width="9.7265625" style="156" customWidth="1"/>
    <col min="15" max="20" width="15.7265625" style="156" customWidth="1"/>
    <col min="21" max="27" width="15.7265625" style="155" customWidth="1"/>
    <col min="28" max="28" width="3.7265625" style="155" customWidth="1"/>
    <col min="29" max="29" width="9.1796875" style="155"/>
    <col min="30" max="16384" width="9.1796875" style="154"/>
  </cols>
  <sheetData>
    <row r="1" spans="1:29" ht="32" x14ac:dyDescent="0.8">
      <c r="A1" s="332" t="s">
        <v>52</v>
      </c>
      <c r="B1" s="332"/>
      <c r="C1" s="332"/>
      <c r="D1" s="332"/>
      <c r="E1" s="332"/>
      <c r="F1" s="332"/>
      <c r="G1" s="332"/>
      <c r="H1" s="193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</row>
    <row r="2" spans="1:29" ht="32" x14ac:dyDescent="0.8">
      <c r="A2" s="333" t="s">
        <v>54</v>
      </c>
      <c r="B2" s="333"/>
      <c r="C2" s="333"/>
      <c r="D2" s="333"/>
      <c r="E2" s="333"/>
      <c r="F2" s="333"/>
      <c r="G2" s="333"/>
      <c r="H2" s="191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</row>
    <row r="3" spans="1:29" ht="50" x14ac:dyDescent="0.7">
      <c r="A3" s="189"/>
      <c r="B3" s="184" t="str">
        <f>'[1]Bom Material'!D3</f>
        <v>Product Name</v>
      </c>
      <c r="C3" s="129" t="str">
        <f>BOM!F3</f>
        <v>GABBY</v>
      </c>
      <c r="D3" s="182"/>
      <c r="E3" s="182"/>
      <c r="F3" s="187"/>
      <c r="G3" s="186"/>
      <c r="H3" s="188"/>
      <c r="I3" s="173"/>
      <c r="J3" s="173"/>
      <c r="K3" s="173"/>
      <c r="L3" s="173"/>
      <c r="M3" s="173"/>
      <c r="N3" s="173"/>
      <c r="O3" s="173"/>
      <c r="P3" s="172"/>
      <c r="Q3" s="172"/>
      <c r="R3" s="172"/>
      <c r="S3" s="172"/>
      <c r="T3" s="172"/>
      <c r="U3" s="172"/>
      <c r="V3" s="171"/>
      <c r="W3" s="171"/>
      <c r="X3" s="171"/>
      <c r="Y3" s="171"/>
      <c r="Z3" s="171"/>
      <c r="AA3" s="171"/>
      <c r="AB3" s="171"/>
      <c r="AC3" s="170"/>
    </row>
    <row r="4" spans="1:29" ht="25" customHeight="1" x14ac:dyDescent="0.7">
      <c r="A4" s="189"/>
      <c r="B4" s="184" t="str">
        <f>'[1]Bom Material'!D4</f>
        <v>Product Type</v>
      </c>
      <c r="C4" s="129" t="s">
        <v>45</v>
      </c>
      <c r="D4" s="129"/>
      <c r="E4" s="129"/>
      <c r="F4" s="129"/>
      <c r="G4" s="186"/>
      <c r="H4" s="188"/>
      <c r="I4" s="173"/>
      <c r="J4" s="173"/>
      <c r="K4" s="173"/>
      <c r="L4" s="173"/>
      <c r="M4" s="173"/>
      <c r="N4" s="173"/>
      <c r="O4" s="173"/>
      <c r="P4" s="172"/>
      <c r="Q4" s="172"/>
      <c r="R4" s="172"/>
      <c r="S4" s="172"/>
      <c r="T4" s="172"/>
      <c r="U4" s="172"/>
      <c r="V4" s="171"/>
      <c r="W4" s="171"/>
      <c r="X4" s="171"/>
      <c r="Y4" s="171"/>
      <c r="Z4" s="171"/>
      <c r="AA4" s="171"/>
      <c r="AB4" s="171"/>
      <c r="AC4" s="170"/>
    </row>
    <row r="5" spans="1:29" ht="25" customHeight="1" x14ac:dyDescent="0.7">
      <c r="A5" s="189"/>
      <c r="B5" s="184" t="str">
        <f>'[1]Bom Material'!D5</f>
        <v>Product code</v>
      </c>
      <c r="C5" s="129"/>
      <c r="D5" s="182"/>
      <c r="E5" s="182"/>
      <c r="F5" s="187"/>
      <c r="G5" s="186"/>
      <c r="H5" s="188"/>
      <c r="I5" s="173"/>
      <c r="J5" s="173"/>
      <c r="K5" s="173"/>
      <c r="L5" s="173"/>
      <c r="M5" s="173"/>
      <c r="N5" s="173"/>
      <c r="O5" s="173"/>
      <c r="P5" s="172"/>
      <c r="Q5" s="172"/>
      <c r="R5" s="172"/>
      <c r="S5" s="172"/>
      <c r="T5" s="172"/>
      <c r="U5" s="172"/>
      <c r="V5" s="171"/>
      <c r="W5" s="171"/>
      <c r="X5" s="171"/>
      <c r="Y5" s="171"/>
      <c r="Z5" s="171"/>
      <c r="AA5" s="171"/>
      <c r="AB5" s="171"/>
      <c r="AC5" s="170"/>
    </row>
    <row r="6" spans="1:29" ht="25" customHeight="1" x14ac:dyDescent="0.7">
      <c r="A6" s="189"/>
      <c r="B6" s="184" t="str">
        <f>'[1]Bom Material'!D6</f>
        <v xml:space="preserve">Size </v>
      </c>
      <c r="C6" s="182" t="str">
        <f>BOM!F6</f>
        <v>: 542 mm x 612 mm x 1215 mm</v>
      </c>
      <c r="D6" s="182"/>
      <c r="E6" s="182"/>
      <c r="F6" s="187"/>
      <c r="G6" s="186"/>
      <c r="H6" s="188"/>
      <c r="I6" s="173"/>
      <c r="J6" s="173"/>
      <c r="K6" s="173"/>
      <c r="L6" s="173"/>
      <c r="M6" s="173"/>
      <c r="N6" s="173"/>
      <c r="O6" s="173"/>
      <c r="P6" s="172"/>
      <c r="Q6" s="172"/>
      <c r="R6" s="172"/>
      <c r="S6" s="172"/>
      <c r="T6" s="172"/>
      <c r="U6" s="172"/>
      <c r="V6" s="171"/>
      <c r="W6" s="171"/>
      <c r="X6" s="171"/>
      <c r="Y6" s="171"/>
      <c r="Z6" s="171"/>
      <c r="AA6" s="171"/>
      <c r="AB6" s="171"/>
      <c r="AC6" s="170"/>
    </row>
    <row r="7" spans="1:29" ht="25" customHeight="1" x14ac:dyDescent="0.7">
      <c r="A7" s="177"/>
      <c r="B7" s="184" t="str">
        <f>'[1]Bom Material'!D7</f>
        <v>Painting</v>
      </c>
      <c r="C7" s="129"/>
      <c r="D7" s="129"/>
      <c r="E7" s="129"/>
      <c r="F7" s="187"/>
      <c r="G7" s="186"/>
      <c r="H7" s="185"/>
      <c r="I7" s="173"/>
      <c r="J7" s="173"/>
      <c r="K7" s="173"/>
      <c r="L7" s="173"/>
      <c r="M7" s="173"/>
      <c r="N7" s="173"/>
      <c r="O7" s="173"/>
      <c r="P7" s="172"/>
      <c r="Q7" s="172"/>
      <c r="R7" s="172"/>
      <c r="S7" s="172"/>
      <c r="T7" s="172"/>
      <c r="U7" s="172"/>
      <c r="V7" s="171"/>
      <c r="W7" s="171"/>
      <c r="X7" s="171"/>
      <c r="Y7" s="171"/>
      <c r="Z7" s="171"/>
      <c r="AA7" s="171"/>
      <c r="AB7" s="171"/>
      <c r="AC7" s="170"/>
    </row>
    <row r="8" spans="1:29" ht="25" customHeight="1" x14ac:dyDescent="0.7">
      <c r="A8" s="177"/>
      <c r="B8" s="184" t="str">
        <f>'[1]Bom Material'!D8</f>
        <v>Date</v>
      </c>
      <c r="C8" s="334" t="s">
        <v>46</v>
      </c>
      <c r="D8" s="334"/>
      <c r="E8" s="334"/>
      <c r="F8" s="187"/>
      <c r="G8" s="186"/>
      <c r="H8" s="185"/>
      <c r="I8" s="173"/>
      <c r="J8" s="173"/>
      <c r="K8" s="173"/>
      <c r="L8" s="173"/>
      <c r="M8" s="173"/>
      <c r="N8" s="173"/>
      <c r="O8" s="173"/>
      <c r="P8" s="172"/>
      <c r="Q8" s="172"/>
      <c r="R8" s="172"/>
      <c r="S8" s="172"/>
      <c r="T8" s="172"/>
      <c r="U8" s="172"/>
      <c r="V8" s="171"/>
      <c r="W8" s="171"/>
      <c r="X8" s="171"/>
      <c r="Y8" s="171"/>
      <c r="Z8" s="171"/>
      <c r="AA8" s="171"/>
      <c r="AB8" s="171"/>
      <c r="AC8" s="170"/>
    </row>
    <row r="9" spans="1:29" ht="25" customHeight="1" x14ac:dyDescent="0.7">
      <c r="A9" s="177"/>
      <c r="B9" s="184" t="str">
        <f>'[1]Bom Material'!D9</f>
        <v>Order</v>
      </c>
      <c r="C9" s="183">
        <f>'[1]Bom Material'!F9</f>
        <v>1</v>
      </c>
      <c r="D9" s="182"/>
      <c r="E9" s="181"/>
      <c r="F9" s="180"/>
      <c r="G9" s="179"/>
      <c r="H9" s="178"/>
      <c r="I9" s="173"/>
      <c r="J9" s="173"/>
      <c r="K9" s="173"/>
      <c r="L9" s="173"/>
      <c r="M9" s="173"/>
      <c r="N9" s="173"/>
      <c r="O9" s="173"/>
      <c r="P9" s="172"/>
      <c r="Q9" s="172"/>
      <c r="R9" s="172"/>
      <c r="S9" s="172"/>
      <c r="T9" s="172"/>
      <c r="U9" s="172"/>
      <c r="V9" s="171"/>
      <c r="W9" s="171"/>
      <c r="X9" s="171"/>
      <c r="Y9" s="171"/>
      <c r="Z9" s="171"/>
      <c r="AA9" s="171"/>
      <c r="AB9" s="171"/>
      <c r="AC9" s="170"/>
    </row>
    <row r="10" spans="1:29" ht="25" customHeight="1" x14ac:dyDescent="0.7">
      <c r="A10" s="177"/>
      <c r="B10" s="184"/>
      <c r="C10" s="183"/>
      <c r="D10" s="182"/>
      <c r="E10" s="181"/>
      <c r="F10" s="180"/>
      <c r="G10" s="179"/>
      <c r="H10" s="178"/>
      <c r="I10" s="173"/>
      <c r="J10" s="173"/>
      <c r="K10" s="173"/>
      <c r="L10" s="173"/>
      <c r="M10" s="173"/>
      <c r="N10" s="173"/>
      <c r="O10" s="173"/>
      <c r="P10" s="172"/>
      <c r="Q10" s="172"/>
      <c r="R10" s="172"/>
      <c r="S10" s="172"/>
      <c r="T10" s="172"/>
      <c r="U10" s="172"/>
      <c r="V10" s="171"/>
      <c r="W10" s="171"/>
      <c r="X10" s="171"/>
      <c r="Y10" s="171"/>
      <c r="Z10" s="171"/>
      <c r="AA10" s="171"/>
      <c r="AB10" s="171"/>
      <c r="AC10" s="170"/>
    </row>
    <row r="11" spans="1:29" ht="25" customHeight="1" thickBot="1" x14ac:dyDescent="0.75">
      <c r="A11" s="177"/>
      <c r="B11" s="169"/>
      <c r="C11" s="175"/>
      <c r="D11" s="176"/>
      <c r="E11" s="175"/>
      <c r="F11" s="176"/>
      <c r="G11" s="175"/>
      <c r="H11" s="174"/>
      <c r="I11" s="173"/>
      <c r="J11" s="173"/>
      <c r="K11" s="173"/>
      <c r="L11" s="173"/>
      <c r="M11" s="173"/>
      <c r="N11" s="173"/>
      <c r="O11" s="173"/>
      <c r="P11" s="172"/>
      <c r="Q11" s="172"/>
      <c r="R11" s="172"/>
      <c r="S11" s="172"/>
      <c r="T11" s="172"/>
      <c r="U11" s="172"/>
      <c r="V11" s="171"/>
      <c r="W11" s="171"/>
      <c r="X11" s="171"/>
      <c r="Y11" s="171"/>
      <c r="Z11" s="171"/>
      <c r="AA11" s="171"/>
      <c r="AB11" s="171"/>
      <c r="AC11" s="170"/>
    </row>
    <row r="12" spans="1:29" customFormat="1" ht="14.5" customHeight="1" thickBot="1" x14ac:dyDescent="0.35">
      <c r="A12" s="335" t="s">
        <v>9</v>
      </c>
      <c r="B12" s="324" t="s">
        <v>47</v>
      </c>
      <c r="C12" s="337" t="s">
        <v>31</v>
      </c>
      <c r="D12" s="339" t="s">
        <v>49</v>
      </c>
      <c r="E12" s="340"/>
      <c r="F12" s="341"/>
      <c r="G12" s="342" t="s">
        <v>32</v>
      </c>
      <c r="H12" s="320" t="s">
        <v>50</v>
      </c>
      <c r="I12" s="322" t="s">
        <v>48</v>
      </c>
      <c r="J12" s="324" t="s">
        <v>34</v>
      </c>
      <c r="K12" s="326" t="s">
        <v>0</v>
      </c>
    </row>
    <row r="13" spans="1:29" customFormat="1" ht="14.5" thickBot="1" x14ac:dyDescent="0.35">
      <c r="A13" s="336"/>
      <c r="B13" s="325"/>
      <c r="C13" s="338"/>
      <c r="D13" s="195" t="s">
        <v>19</v>
      </c>
      <c r="E13" s="197" t="s">
        <v>21</v>
      </c>
      <c r="F13" s="196" t="s">
        <v>51</v>
      </c>
      <c r="G13" s="343"/>
      <c r="H13" s="321"/>
      <c r="I13" s="323"/>
      <c r="J13" s="325"/>
      <c r="K13" s="327"/>
    </row>
    <row r="14" spans="1:29" customFormat="1" ht="14.5" thickBot="1" x14ac:dyDescent="0.35">
      <c r="A14" s="328" t="s">
        <v>55</v>
      </c>
      <c r="B14" s="329"/>
      <c r="C14" s="329"/>
      <c r="D14" s="329"/>
      <c r="E14" s="329"/>
      <c r="F14" s="329"/>
      <c r="G14" s="329"/>
      <c r="H14" s="330"/>
      <c r="I14" s="330"/>
      <c r="J14" s="330"/>
      <c r="K14" s="331"/>
    </row>
    <row r="15" spans="1:29" customFormat="1" ht="20.5" thickBot="1" x14ac:dyDescent="0.35">
      <c r="A15" s="198"/>
      <c r="B15" s="199"/>
      <c r="C15" s="200" t="s">
        <v>56</v>
      </c>
      <c r="D15" s="201">
        <v>65</v>
      </c>
      <c r="E15" s="202">
        <v>400</v>
      </c>
      <c r="F15" s="203">
        <v>413</v>
      </c>
      <c r="G15" s="204">
        <v>1</v>
      </c>
      <c r="H15" s="205"/>
      <c r="I15" s="206"/>
      <c r="J15" s="206"/>
      <c r="K15" s="207"/>
    </row>
    <row r="16" spans="1:29" s="213" customFormat="1" ht="25" customHeight="1" x14ac:dyDescent="0.3">
      <c r="A16" s="208">
        <v>1</v>
      </c>
      <c r="B16" s="209" t="s">
        <v>57</v>
      </c>
      <c r="C16" s="209" t="s">
        <v>58</v>
      </c>
      <c r="D16" s="152">
        <v>50</v>
      </c>
      <c r="E16" s="152">
        <f>E15</f>
        <v>400</v>
      </c>
      <c r="F16" s="152">
        <f>F15</f>
        <v>413</v>
      </c>
      <c r="G16" s="211">
        <f>G15*L16</f>
        <v>0</v>
      </c>
      <c r="H16" s="232">
        <f>D16*E16*F16*G16/1000000000</f>
        <v>0</v>
      </c>
      <c r="I16" s="233" t="s">
        <v>59</v>
      </c>
      <c r="J16" s="151" t="s">
        <v>60</v>
      </c>
      <c r="K16" s="234"/>
      <c r="L16" s="213">
        <v>0</v>
      </c>
      <c r="N16" s="214"/>
    </row>
    <row r="17" spans="1:29" s="213" customFormat="1" ht="25" customHeight="1" x14ac:dyDescent="0.3">
      <c r="A17" s="215">
        <f>A16+1</f>
        <v>2</v>
      </c>
      <c r="B17" s="216" t="s">
        <v>61</v>
      </c>
      <c r="C17" s="216" t="s">
        <v>62</v>
      </c>
      <c r="D17" s="210">
        <v>50</v>
      </c>
      <c r="E17" s="210">
        <f>E15</f>
        <v>400</v>
      </c>
      <c r="F17" s="210">
        <f>F15</f>
        <v>413</v>
      </c>
      <c r="G17" s="217">
        <f>G15*L17</f>
        <v>1</v>
      </c>
      <c r="H17" s="218">
        <f>D17*E17*F17*G17/1000000000</f>
        <v>8.26E-3</v>
      </c>
      <c r="I17" s="219" t="s">
        <v>59</v>
      </c>
      <c r="J17" s="212" t="s">
        <v>60</v>
      </c>
      <c r="K17" s="220"/>
      <c r="L17" s="213">
        <v>1</v>
      </c>
    </row>
    <row r="18" spans="1:29" s="213" customFormat="1" ht="25" customHeight="1" x14ac:dyDescent="0.3">
      <c r="A18" s="215">
        <f>A17+1</f>
        <v>3</v>
      </c>
      <c r="B18" s="221">
        <v>40000198</v>
      </c>
      <c r="C18" s="216" t="s">
        <v>63</v>
      </c>
      <c r="D18" s="210">
        <v>10</v>
      </c>
      <c r="E18" s="210">
        <f>E15</f>
        <v>400</v>
      </c>
      <c r="F18" s="210">
        <f>F15</f>
        <v>413</v>
      </c>
      <c r="G18" s="217">
        <f>G15*L18</f>
        <v>1</v>
      </c>
      <c r="H18" s="218">
        <f>D18*E18*F18*G18/1000000000</f>
        <v>1.652E-3</v>
      </c>
      <c r="I18" s="219" t="s">
        <v>59</v>
      </c>
      <c r="J18" s="212" t="s">
        <v>60</v>
      </c>
      <c r="K18" s="220"/>
      <c r="L18" s="213">
        <v>1</v>
      </c>
    </row>
    <row r="19" spans="1:29" s="213" customFormat="1" ht="25" customHeight="1" x14ac:dyDescent="0.3">
      <c r="A19" s="215">
        <f>A18+1</f>
        <v>4</v>
      </c>
      <c r="B19" s="216" t="s">
        <v>68</v>
      </c>
      <c r="C19" s="216" t="s">
        <v>69</v>
      </c>
      <c r="D19" s="222">
        <v>1</v>
      </c>
      <c r="E19" s="210">
        <f>D15*2+E15</f>
        <v>530</v>
      </c>
      <c r="F19" s="210">
        <f>D15*2+F15</f>
        <v>543</v>
      </c>
      <c r="G19" s="217">
        <f>G15*L19</f>
        <v>1</v>
      </c>
      <c r="H19" s="218">
        <f>0.129*2</f>
        <v>0.25800000000000001</v>
      </c>
      <c r="I19" s="219" t="s">
        <v>64</v>
      </c>
      <c r="J19" s="212" t="s">
        <v>60</v>
      </c>
      <c r="K19" s="220"/>
      <c r="L19" s="213">
        <v>1</v>
      </c>
    </row>
    <row r="20" spans="1:29" s="213" customFormat="1" ht="25" customHeight="1" x14ac:dyDescent="0.3">
      <c r="A20" s="215">
        <f>A19+1</f>
        <v>5</v>
      </c>
      <c r="B20" s="221"/>
      <c r="C20" s="221" t="s">
        <v>65</v>
      </c>
      <c r="D20" s="223">
        <v>1</v>
      </c>
      <c r="E20" s="222">
        <f>E15+30+D15+D15</f>
        <v>560</v>
      </c>
      <c r="F20" s="222">
        <f>F15+30+D15+D15</f>
        <v>573</v>
      </c>
      <c r="G20" s="224">
        <f>G15</f>
        <v>1</v>
      </c>
      <c r="H20" s="225">
        <f>G15*N20/1000</f>
        <v>0.28649999999999998</v>
      </c>
      <c r="I20" s="226" t="s">
        <v>66</v>
      </c>
      <c r="J20" s="212" t="s">
        <v>67</v>
      </c>
      <c r="K20" s="220"/>
      <c r="L20" s="213">
        <v>1400</v>
      </c>
      <c r="M20" s="213">
        <v>2</v>
      </c>
      <c r="N20" s="231">
        <f>F20/M20</f>
        <v>286.5</v>
      </c>
    </row>
    <row r="21" spans="1:29" s="213" customFormat="1" ht="25" customHeight="1" x14ac:dyDescent="0.3">
      <c r="A21" s="215"/>
      <c r="B21" s="221"/>
      <c r="C21" s="221"/>
      <c r="D21" s="223"/>
      <c r="E21" s="222"/>
      <c r="F21" s="222"/>
      <c r="G21" s="224"/>
      <c r="H21" s="225"/>
      <c r="I21" s="226"/>
      <c r="J21" s="212"/>
      <c r="K21" s="220"/>
    </row>
    <row r="22" spans="1:29" s="230" customFormat="1" ht="25" customHeight="1" x14ac:dyDescent="0.3">
      <c r="A22" s="215"/>
      <c r="B22" s="221"/>
      <c r="C22" s="221"/>
      <c r="D22" s="223"/>
      <c r="E22" s="222"/>
      <c r="F22" s="222"/>
      <c r="G22" s="227"/>
      <c r="H22" s="228"/>
      <c r="I22" s="226"/>
      <c r="J22" s="212"/>
      <c r="K22" s="229"/>
    </row>
    <row r="23" spans="1:29" s="230" customFormat="1" ht="25" customHeight="1" thickBot="1" x14ac:dyDescent="0.35">
      <c r="A23" s="235"/>
      <c r="B23" s="236"/>
      <c r="C23" s="236"/>
      <c r="D23" s="237"/>
      <c r="E23" s="153"/>
      <c r="F23" s="153"/>
      <c r="G23" s="238"/>
      <c r="H23" s="239"/>
      <c r="I23" s="240"/>
      <c r="J23" s="241"/>
      <c r="K23" s="242"/>
    </row>
    <row r="24" spans="1:29" s="166" customFormat="1" ht="16.5" x14ac:dyDescent="0.35">
      <c r="A24" s="168"/>
      <c r="D24" s="165"/>
      <c r="E24" s="164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</row>
    <row r="25" spans="1:29" s="166" customFormat="1" ht="16.5" x14ac:dyDescent="0.35">
      <c r="A25" s="162"/>
      <c r="B25" s="159"/>
      <c r="D25" s="165"/>
      <c r="E25" s="164"/>
      <c r="F25" s="163"/>
      <c r="G25" s="159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</row>
    <row r="26" spans="1:29" s="159" customFormat="1" ht="16.5" x14ac:dyDescent="0.35">
      <c r="A26" s="162"/>
      <c r="C26" s="166"/>
      <c r="D26" s="165"/>
      <c r="E26" s="164"/>
      <c r="F26" s="163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</row>
    <row r="27" spans="1:29" s="159" customFormat="1" ht="16.5" x14ac:dyDescent="0.35">
      <c r="A27" s="162"/>
      <c r="C27" s="166"/>
      <c r="D27" s="165"/>
      <c r="E27" s="164"/>
      <c r="F27" s="163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</row>
    <row r="28" spans="1:29" s="159" customFormat="1" ht="16.5" x14ac:dyDescent="0.35">
      <c r="A28" s="162"/>
      <c r="C28" s="166"/>
      <c r="D28" s="165"/>
      <c r="E28" s="164"/>
      <c r="F28" s="163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</row>
    <row r="29" spans="1:29" s="159" customFormat="1" ht="16.5" x14ac:dyDescent="0.35">
      <c r="A29" s="162"/>
      <c r="C29" s="166"/>
      <c r="D29" s="165"/>
      <c r="E29" s="164"/>
      <c r="F29" s="163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</row>
    <row r="30" spans="1:29" s="159" customFormat="1" ht="16.5" x14ac:dyDescent="0.35">
      <c r="A30" s="162"/>
      <c r="C30" s="166"/>
      <c r="D30" s="165"/>
      <c r="E30" s="164"/>
      <c r="F30" s="163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</row>
    <row r="31" spans="1:29" s="159" customFormat="1" x14ac:dyDescent="0.3">
      <c r="A31" s="162"/>
      <c r="D31" s="161"/>
      <c r="F31" s="161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</row>
    <row r="32" spans="1:29" s="159" customFormat="1" x14ac:dyDescent="0.3">
      <c r="A32" s="162"/>
      <c r="D32" s="161"/>
      <c r="F32" s="161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</row>
    <row r="33" spans="1:29" s="159" customFormat="1" x14ac:dyDescent="0.3">
      <c r="A33" s="162"/>
      <c r="D33" s="161"/>
      <c r="F33" s="161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</row>
    <row r="34" spans="1:29" s="159" customFormat="1" x14ac:dyDescent="0.3">
      <c r="A34" s="162"/>
      <c r="D34" s="161"/>
      <c r="F34" s="161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</row>
    <row r="35" spans="1:29" s="159" customFormat="1" x14ac:dyDescent="0.3">
      <c r="A35" s="162"/>
      <c r="D35" s="161"/>
      <c r="F35" s="161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</row>
    <row r="36" spans="1:29" s="159" customFormat="1" x14ac:dyDescent="0.3">
      <c r="A36" s="162"/>
      <c r="D36" s="161"/>
      <c r="F36" s="161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</row>
    <row r="37" spans="1:29" s="159" customFormat="1" x14ac:dyDescent="0.3">
      <c r="A37" s="162"/>
      <c r="D37" s="161"/>
      <c r="F37" s="161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</row>
    <row r="38" spans="1:29" s="159" customFormat="1" x14ac:dyDescent="0.3">
      <c r="A38" s="162"/>
      <c r="D38" s="161"/>
      <c r="F38" s="161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</row>
    <row r="39" spans="1:29" s="159" customFormat="1" x14ac:dyDescent="0.3">
      <c r="A39" s="162"/>
      <c r="D39" s="161"/>
      <c r="F39" s="161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</row>
    <row r="40" spans="1:29" s="159" customFormat="1" x14ac:dyDescent="0.3">
      <c r="A40" s="162"/>
      <c r="D40" s="161"/>
      <c r="F40" s="161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</row>
    <row r="41" spans="1:29" s="159" customFormat="1" x14ac:dyDescent="0.3">
      <c r="A41" s="162"/>
      <c r="D41" s="161"/>
      <c r="F41" s="161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</row>
    <row r="42" spans="1:29" s="159" customFormat="1" x14ac:dyDescent="0.3">
      <c r="A42" s="162"/>
      <c r="D42" s="161"/>
      <c r="F42" s="161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</row>
    <row r="43" spans="1:29" s="159" customFormat="1" x14ac:dyDescent="0.3">
      <c r="A43" s="162"/>
      <c r="D43" s="161"/>
      <c r="F43" s="161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</row>
    <row r="44" spans="1:29" s="159" customFormat="1" x14ac:dyDescent="0.3">
      <c r="A44" s="162"/>
      <c r="D44" s="161"/>
      <c r="F44" s="161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</row>
    <row r="45" spans="1:29" s="159" customFormat="1" x14ac:dyDescent="0.3">
      <c r="A45" s="162"/>
      <c r="D45" s="161"/>
      <c r="F45" s="161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</row>
    <row r="46" spans="1:29" s="159" customFormat="1" x14ac:dyDescent="0.3">
      <c r="A46" s="162"/>
      <c r="D46" s="161"/>
      <c r="F46" s="161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</row>
    <row r="47" spans="1:29" s="159" customFormat="1" x14ac:dyDescent="0.3">
      <c r="A47" s="162"/>
      <c r="D47" s="161"/>
      <c r="F47" s="161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</row>
    <row r="48" spans="1:29" s="159" customFormat="1" x14ac:dyDescent="0.3">
      <c r="A48" s="162"/>
      <c r="D48" s="161"/>
      <c r="F48" s="161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</row>
    <row r="49" spans="1:29" s="159" customFormat="1" x14ac:dyDescent="0.3">
      <c r="A49" s="162"/>
      <c r="D49" s="161"/>
      <c r="F49" s="161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</row>
    <row r="50" spans="1:29" s="159" customFormat="1" x14ac:dyDescent="0.3">
      <c r="A50" s="162"/>
      <c r="D50" s="161"/>
      <c r="F50" s="161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</row>
    <row r="51" spans="1:29" s="159" customFormat="1" x14ac:dyDescent="0.3">
      <c r="A51" s="162"/>
      <c r="D51" s="161"/>
      <c r="F51" s="161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</row>
    <row r="52" spans="1:29" s="159" customFormat="1" x14ac:dyDescent="0.3">
      <c r="A52" s="162"/>
      <c r="D52" s="161"/>
      <c r="F52" s="161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</row>
    <row r="53" spans="1:29" s="159" customFormat="1" x14ac:dyDescent="0.3">
      <c r="A53" s="162"/>
      <c r="D53" s="161"/>
      <c r="F53" s="161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</row>
    <row r="54" spans="1:29" s="159" customFormat="1" x14ac:dyDescent="0.3">
      <c r="A54" s="162"/>
      <c r="D54" s="161"/>
      <c r="F54" s="161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</row>
    <row r="55" spans="1:29" s="159" customFormat="1" x14ac:dyDescent="0.3">
      <c r="A55" s="162"/>
      <c r="D55" s="161"/>
      <c r="F55" s="161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</row>
    <row r="56" spans="1:29" s="159" customFormat="1" x14ac:dyDescent="0.3">
      <c r="A56" s="162"/>
      <c r="D56" s="161"/>
      <c r="F56" s="161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</row>
    <row r="57" spans="1:29" s="159" customFormat="1" x14ac:dyDescent="0.3">
      <c r="A57" s="162"/>
      <c r="D57" s="161"/>
      <c r="F57" s="161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</row>
    <row r="58" spans="1:29" s="159" customFormat="1" x14ac:dyDescent="0.3">
      <c r="A58" s="162"/>
      <c r="D58" s="161"/>
      <c r="F58" s="161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</row>
    <row r="59" spans="1:29" s="159" customFormat="1" x14ac:dyDescent="0.3">
      <c r="A59" s="162"/>
      <c r="D59" s="161"/>
      <c r="F59" s="161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</row>
    <row r="60" spans="1:29" s="159" customFormat="1" x14ac:dyDescent="0.3">
      <c r="A60" s="162"/>
      <c r="D60" s="161"/>
      <c r="F60" s="161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</row>
    <row r="61" spans="1:29" s="159" customFormat="1" x14ac:dyDescent="0.3">
      <c r="A61" s="162"/>
      <c r="D61" s="161"/>
      <c r="F61" s="161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</row>
    <row r="62" spans="1:29" s="159" customFormat="1" x14ac:dyDescent="0.3">
      <c r="A62" s="162"/>
      <c r="D62" s="161"/>
      <c r="F62" s="161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</row>
    <row r="63" spans="1:29" s="159" customFormat="1" x14ac:dyDescent="0.3">
      <c r="A63" s="162"/>
      <c r="D63" s="161"/>
      <c r="F63" s="161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</row>
    <row r="64" spans="1:29" s="159" customFormat="1" x14ac:dyDescent="0.3">
      <c r="A64" s="162"/>
      <c r="D64" s="161"/>
      <c r="F64" s="161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</row>
    <row r="65" spans="1:29" s="159" customFormat="1" x14ac:dyDescent="0.3">
      <c r="A65" s="162"/>
      <c r="D65" s="161"/>
      <c r="F65" s="161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</row>
    <row r="66" spans="1:29" s="159" customFormat="1" x14ac:dyDescent="0.3">
      <c r="A66" s="162"/>
      <c r="D66" s="161"/>
      <c r="F66" s="161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</row>
    <row r="67" spans="1:29" s="159" customFormat="1" x14ac:dyDescent="0.3">
      <c r="A67" s="162"/>
      <c r="D67" s="161"/>
      <c r="F67" s="161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</row>
    <row r="68" spans="1:29" s="159" customFormat="1" x14ac:dyDescent="0.3">
      <c r="A68" s="162"/>
      <c r="D68" s="161"/>
      <c r="F68" s="161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</row>
    <row r="69" spans="1:29" s="159" customFormat="1" x14ac:dyDescent="0.3">
      <c r="A69" s="162"/>
      <c r="D69" s="161"/>
      <c r="F69" s="161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</row>
    <row r="70" spans="1:29" s="159" customFormat="1" x14ac:dyDescent="0.3">
      <c r="A70" s="162"/>
      <c r="D70" s="161"/>
      <c r="F70" s="161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</row>
    <row r="71" spans="1:29" s="159" customFormat="1" x14ac:dyDescent="0.3">
      <c r="A71" s="162"/>
      <c r="D71" s="161"/>
      <c r="F71" s="161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</row>
    <row r="72" spans="1:29" s="159" customFormat="1" x14ac:dyDescent="0.3">
      <c r="A72" s="162"/>
      <c r="D72" s="161"/>
      <c r="F72" s="161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</row>
    <row r="73" spans="1:29" s="159" customFormat="1" x14ac:dyDescent="0.3">
      <c r="A73" s="162"/>
      <c r="D73" s="161"/>
      <c r="F73" s="161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</row>
    <row r="74" spans="1:29" s="159" customFormat="1" x14ac:dyDescent="0.3">
      <c r="A74" s="162"/>
      <c r="D74" s="161"/>
      <c r="F74" s="161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</row>
    <row r="75" spans="1:29" s="159" customFormat="1" x14ac:dyDescent="0.3">
      <c r="A75" s="162"/>
      <c r="D75" s="161"/>
      <c r="F75" s="161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</row>
    <row r="76" spans="1:29" s="159" customFormat="1" x14ac:dyDescent="0.3">
      <c r="A76" s="162"/>
      <c r="D76" s="161"/>
      <c r="F76" s="161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</row>
    <row r="77" spans="1:29" s="159" customFormat="1" x14ac:dyDescent="0.3">
      <c r="A77" s="162"/>
      <c r="D77" s="161"/>
      <c r="F77" s="161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</row>
    <row r="78" spans="1:29" s="159" customFormat="1" x14ac:dyDescent="0.3">
      <c r="A78" s="162"/>
      <c r="D78" s="161"/>
      <c r="F78" s="161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</row>
    <row r="79" spans="1:29" s="159" customFormat="1" x14ac:dyDescent="0.3">
      <c r="A79" s="162"/>
      <c r="D79" s="161"/>
      <c r="F79" s="161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</row>
    <row r="80" spans="1:29" s="159" customFormat="1" x14ac:dyDescent="0.3">
      <c r="A80" s="162"/>
      <c r="D80" s="161"/>
      <c r="F80" s="161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</row>
    <row r="81" spans="1:29" s="159" customFormat="1" x14ac:dyDescent="0.3">
      <c r="A81" s="162"/>
      <c r="D81" s="161"/>
      <c r="F81" s="161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</row>
    <row r="82" spans="1:29" s="159" customFormat="1" x14ac:dyDescent="0.3">
      <c r="A82" s="162"/>
      <c r="D82" s="161"/>
      <c r="F82" s="161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</row>
    <row r="83" spans="1:29" s="159" customFormat="1" x14ac:dyDescent="0.3">
      <c r="A83" s="162"/>
      <c r="D83" s="161"/>
      <c r="F83" s="161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</row>
    <row r="84" spans="1:29" s="159" customFormat="1" x14ac:dyDescent="0.3">
      <c r="A84" s="162"/>
      <c r="D84" s="161"/>
      <c r="F84" s="161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</row>
    <row r="85" spans="1:29" s="159" customFormat="1" x14ac:dyDescent="0.3">
      <c r="A85" s="162"/>
      <c r="D85" s="161"/>
      <c r="F85" s="161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</row>
    <row r="86" spans="1:29" s="159" customFormat="1" x14ac:dyDescent="0.3">
      <c r="A86" s="162"/>
      <c r="D86" s="161"/>
      <c r="F86" s="161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</row>
    <row r="87" spans="1:29" s="159" customFormat="1" x14ac:dyDescent="0.3">
      <c r="A87" s="162"/>
      <c r="D87" s="161"/>
      <c r="F87" s="161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</row>
    <row r="88" spans="1:29" s="159" customFormat="1" x14ac:dyDescent="0.3">
      <c r="A88" s="162"/>
      <c r="D88" s="161"/>
      <c r="F88" s="161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</row>
    <row r="89" spans="1:29" s="159" customFormat="1" x14ac:dyDescent="0.3">
      <c r="A89" s="162"/>
      <c r="D89" s="161"/>
      <c r="F89" s="161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</row>
    <row r="90" spans="1:29" s="159" customFormat="1" x14ac:dyDescent="0.3">
      <c r="A90" s="162"/>
      <c r="D90" s="161"/>
      <c r="F90" s="161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</row>
    <row r="91" spans="1:29" s="159" customFormat="1" x14ac:dyDescent="0.3">
      <c r="A91" s="162"/>
      <c r="D91" s="161"/>
      <c r="F91" s="161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</row>
    <row r="92" spans="1:29" s="159" customFormat="1" x14ac:dyDescent="0.3">
      <c r="A92" s="162"/>
      <c r="D92" s="161"/>
      <c r="F92" s="161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</row>
    <row r="93" spans="1:29" s="159" customFormat="1" x14ac:dyDescent="0.3">
      <c r="A93" s="162"/>
      <c r="D93" s="161"/>
      <c r="F93" s="161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</row>
    <row r="94" spans="1:29" s="159" customFormat="1" x14ac:dyDescent="0.3">
      <c r="A94" s="162"/>
      <c r="D94" s="161"/>
      <c r="F94" s="161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</row>
    <row r="95" spans="1:29" s="159" customFormat="1" x14ac:dyDescent="0.3">
      <c r="A95" s="162"/>
      <c r="D95" s="161"/>
      <c r="F95" s="161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</row>
    <row r="96" spans="1:29" s="159" customFormat="1" x14ac:dyDescent="0.3">
      <c r="A96" s="162"/>
      <c r="D96" s="161"/>
      <c r="F96" s="161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</row>
    <row r="97" spans="1:29" s="159" customFormat="1" x14ac:dyDescent="0.3">
      <c r="A97" s="162"/>
      <c r="D97" s="161"/>
      <c r="F97" s="161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</row>
    <row r="98" spans="1:29" s="159" customFormat="1" x14ac:dyDescent="0.3">
      <c r="A98" s="162"/>
      <c r="D98" s="161"/>
      <c r="F98" s="161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</row>
    <row r="99" spans="1:29" s="159" customFormat="1" x14ac:dyDescent="0.3">
      <c r="A99" s="162"/>
      <c r="D99" s="161"/>
      <c r="F99" s="161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</row>
    <row r="100" spans="1:29" s="159" customFormat="1" x14ac:dyDescent="0.3">
      <c r="A100" s="162"/>
      <c r="D100" s="161"/>
      <c r="F100" s="161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</row>
    <row r="101" spans="1:29" s="159" customFormat="1" x14ac:dyDescent="0.3">
      <c r="A101" s="162"/>
      <c r="D101" s="161"/>
      <c r="F101" s="161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</row>
    <row r="102" spans="1:29" s="159" customFormat="1" x14ac:dyDescent="0.3">
      <c r="A102" s="162"/>
      <c r="D102" s="161"/>
      <c r="F102" s="161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</row>
    <row r="103" spans="1:29" s="159" customFormat="1" x14ac:dyDescent="0.3">
      <c r="A103" s="162"/>
      <c r="D103" s="161"/>
      <c r="F103" s="161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</row>
    <row r="104" spans="1:29" s="159" customFormat="1" x14ac:dyDescent="0.3">
      <c r="A104" s="162"/>
      <c r="D104" s="161"/>
      <c r="F104" s="161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</row>
    <row r="105" spans="1:29" s="159" customFormat="1" x14ac:dyDescent="0.3">
      <c r="A105" s="162"/>
      <c r="D105" s="161"/>
      <c r="F105" s="161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</row>
    <row r="106" spans="1:29" s="159" customFormat="1" x14ac:dyDescent="0.3">
      <c r="A106" s="162"/>
      <c r="D106" s="161"/>
      <c r="F106" s="161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</row>
    <row r="107" spans="1:29" s="159" customFormat="1" x14ac:dyDescent="0.3">
      <c r="A107" s="162"/>
      <c r="D107" s="161"/>
      <c r="F107" s="161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</row>
    <row r="108" spans="1:29" s="159" customFormat="1" x14ac:dyDescent="0.3">
      <c r="A108" s="162"/>
      <c r="D108" s="161"/>
      <c r="F108" s="161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</row>
    <row r="109" spans="1:29" s="159" customFormat="1" x14ac:dyDescent="0.3">
      <c r="A109" s="162"/>
      <c r="D109" s="161"/>
      <c r="F109" s="161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</row>
    <row r="110" spans="1:29" s="159" customFormat="1" x14ac:dyDescent="0.3">
      <c r="A110" s="162"/>
      <c r="D110" s="161"/>
      <c r="F110" s="161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</row>
    <row r="111" spans="1:29" s="159" customFormat="1" x14ac:dyDescent="0.3">
      <c r="A111" s="162"/>
      <c r="D111" s="161"/>
      <c r="F111" s="161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</row>
    <row r="112" spans="1:29" s="159" customFormat="1" x14ac:dyDescent="0.3">
      <c r="A112" s="162"/>
      <c r="D112" s="161"/>
      <c r="F112" s="161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</row>
    <row r="113" spans="1:29" s="159" customFormat="1" x14ac:dyDescent="0.3">
      <c r="A113" s="162"/>
      <c r="D113" s="161"/>
      <c r="F113" s="161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</row>
    <row r="114" spans="1:29" s="159" customFormat="1" x14ac:dyDescent="0.3">
      <c r="A114" s="162"/>
      <c r="D114" s="161"/>
      <c r="F114" s="161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</row>
    <row r="115" spans="1:29" s="159" customFormat="1" x14ac:dyDescent="0.3">
      <c r="A115" s="162"/>
      <c r="D115" s="161"/>
      <c r="F115" s="161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</row>
    <row r="116" spans="1:29" s="159" customFormat="1" x14ac:dyDescent="0.3">
      <c r="A116" s="162"/>
      <c r="D116" s="161"/>
      <c r="F116" s="161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</row>
    <row r="117" spans="1:29" s="159" customFormat="1" x14ac:dyDescent="0.3">
      <c r="A117" s="162"/>
      <c r="D117" s="161"/>
      <c r="F117" s="161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</row>
    <row r="118" spans="1:29" s="159" customFormat="1" x14ac:dyDescent="0.3">
      <c r="A118" s="162"/>
      <c r="D118" s="161"/>
      <c r="F118" s="161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</row>
    <row r="119" spans="1:29" s="159" customFormat="1" x14ac:dyDescent="0.3">
      <c r="A119" s="162"/>
      <c r="D119" s="161"/>
      <c r="F119" s="161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</row>
    <row r="120" spans="1:29" s="159" customFormat="1" x14ac:dyDescent="0.3">
      <c r="A120" s="162"/>
      <c r="D120" s="161"/>
      <c r="F120" s="161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</row>
    <row r="121" spans="1:29" s="159" customFormat="1" x14ac:dyDescent="0.3">
      <c r="A121" s="162"/>
      <c r="D121" s="161"/>
      <c r="F121" s="161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</row>
    <row r="122" spans="1:29" s="159" customFormat="1" x14ac:dyDescent="0.3">
      <c r="A122" s="162"/>
      <c r="D122" s="161"/>
      <c r="F122" s="161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</row>
    <row r="123" spans="1:29" s="159" customFormat="1" x14ac:dyDescent="0.3">
      <c r="A123" s="162"/>
      <c r="D123" s="161"/>
      <c r="F123" s="161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</row>
    <row r="124" spans="1:29" s="159" customFormat="1" x14ac:dyDescent="0.3">
      <c r="A124" s="162"/>
      <c r="D124" s="161"/>
      <c r="F124" s="161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</row>
    <row r="125" spans="1:29" s="159" customFormat="1" x14ac:dyDescent="0.3">
      <c r="A125" s="162"/>
      <c r="D125" s="161"/>
      <c r="F125" s="161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</row>
    <row r="126" spans="1:29" s="159" customFormat="1" x14ac:dyDescent="0.3">
      <c r="A126" s="162"/>
      <c r="D126" s="161"/>
      <c r="F126" s="161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</row>
    <row r="127" spans="1:29" s="159" customFormat="1" x14ac:dyDescent="0.3">
      <c r="A127" s="162"/>
      <c r="D127" s="161"/>
      <c r="F127" s="161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</row>
    <row r="128" spans="1:29" s="159" customFormat="1" x14ac:dyDescent="0.3">
      <c r="A128" s="162"/>
      <c r="D128" s="161"/>
      <c r="F128" s="161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</row>
    <row r="129" spans="1:29" s="159" customFormat="1" x14ac:dyDescent="0.3">
      <c r="A129" s="162"/>
      <c r="D129" s="161"/>
      <c r="F129" s="161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</row>
    <row r="130" spans="1:29" s="159" customFormat="1" x14ac:dyDescent="0.3">
      <c r="A130" s="162"/>
      <c r="D130" s="161"/>
      <c r="F130" s="161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</row>
    <row r="131" spans="1:29" s="159" customFormat="1" x14ac:dyDescent="0.3">
      <c r="A131" s="162"/>
      <c r="D131" s="161"/>
      <c r="F131" s="161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</row>
    <row r="132" spans="1:29" s="159" customFormat="1" x14ac:dyDescent="0.3">
      <c r="A132" s="162"/>
      <c r="D132" s="161"/>
      <c r="F132" s="161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</row>
    <row r="133" spans="1:29" s="159" customFormat="1" x14ac:dyDescent="0.3">
      <c r="A133" s="162"/>
      <c r="D133" s="161"/>
      <c r="F133" s="161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</row>
    <row r="134" spans="1:29" s="159" customFormat="1" x14ac:dyDescent="0.3">
      <c r="A134" s="162"/>
      <c r="D134" s="161"/>
      <c r="F134" s="161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</row>
    <row r="135" spans="1:29" s="159" customFormat="1" x14ac:dyDescent="0.3">
      <c r="A135" s="162"/>
      <c r="D135" s="161"/>
      <c r="F135" s="161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</row>
    <row r="136" spans="1:29" s="159" customFormat="1" x14ac:dyDescent="0.3">
      <c r="A136" s="162"/>
      <c r="D136" s="161"/>
      <c r="F136" s="161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</row>
    <row r="137" spans="1:29" s="159" customFormat="1" x14ac:dyDescent="0.3">
      <c r="A137" s="162"/>
      <c r="D137" s="161"/>
      <c r="F137" s="161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</row>
    <row r="138" spans="1:29" s="159" customFormat="1" x14ac:dyDescent="0.3">
      <c r="A138" s="162"/>
      <c r="D138" s="161"/>
      <c r="F138" s="161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</row>
    <row r="139" spans="1:29" s="159" customFormat="1" x14ac:dyDescent="0.3">
      <c r="A139" s="162"/>
      <c r="D139" s="161"/>
      <c r="F139" s="161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</row>
    <row r="140" spans="1:29" s="159" customFormat="1" x14ac:dyDescent="0.3">
      <c r="A140" s="162"/>
      <c r="D140" s="161"/>
      <c r="F140" s="161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</row>
    <row r="141" spans="1:29" s="159" customFormat="1" x14ac:dyDescent="0.3">
      <c r="A141" s="162"/>
      <c r="D141" s="161"/>
      <c r="F141" s="161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</row>
    <row r="142" spans="1:29" s="159" customFormat="1" x14ac:dyDescent="0.3">
      <c r="A142" s="162"/>
      <c r="D142" s="161"/>
      <c r="F142" s="161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</row>
    <row r="143" spans="1:29" s="159" customFormat="1" x14ac:dyDescent="0.3">
      <c r="A143" s="162"/>
      <c r="D143" s="161"/>
      <c r="F143" s="161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</row>
    <row r="144" spans="1:29" s="159" customFormat="1" x14ac:dyDescent="0.3">
      <c r="A144" s="162"/>
      <c r="D144" s="161"/>
      <c r="F144" s="161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</row>
    <row r="145" spans="1:29" s="159" customFormat="1" x14ac:dyDescent="0.3">
      <c r="A145" s="162"/>
      <c r="D145" s="161"/>
      <c r="F145" s="161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</row>
    <row r="146" spans="1:29" s="159" customFormat="1" x14ac:dyDescent="0.3">
      <c r="A146" s="162"/>
      <c r="D146" s="161"/>
      <c r="F146" s="161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</row>
    <row r="147" spans="1:29" s="159" customFormat="1" x14ac:dyDescent="0.3">
      <c r="A147" s="162"/>
      <c r="D147" s="161"/>
      <c r="F147" s="161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</row>
    <row r="148" spans="1:29" s="159" customFormat="1" x14ac:dyDescent="0.3">
      <c r="A148" s="162"/>
      <c r="D148" s="161"/>
      <c r="F148" s="161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  <c r="AA148" s="160"/>
      <c r="AB148" s="160"/>
      <c r="AC148" s="160"/>
    </row>
    <row r="149" spans="1:29" s="159" customFormat="1" x14ac:dyDescent="0.3">
      <c r="A149" s="162"/>
      <c r="D149" s="161"/>
      <c r="F149" s="161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60"/>
      <c r="AC149" s="160"/>
    </row>
    <row r="150" spans="1:29" s="159" customFormat="1" x14ac:dyDescent="0.3">
      <c r="A150" s="162"/>
      <c r="D150" s="161"/>
      <c r="F150" s="161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60"/>
      <c r="AC150" s="160"/>
    </row>
    <row r="151" spans="1:29" s="159" customFormat="1" x14ac:dyDescent="0.3">
      <c r="A151" s="162"/>
      <c r="D151" s="161"/>
      <c r="F151" s="161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0"/>
      <c r="AC151" s="160"/>
    </row>
    <row r="152" spans="1:29" s="159" customFormat="1" x14ac:dyDescent="0.3">
      <c r="A152" s="162"/>
      <c r="D152" s="161"/>
      <c r="F152" s="161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</row>
    <row r="153" spans="1:29" s="159" customFormat="1" x14ac:dyDescent="0.3">
      <c r="A153" s="162"/>
      <c r="D153" s="161"/>
      <c r="F153" s="161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</row>
    <row r="154" spans="1:29" s="159" customFormat="1" x14ac:dyDescent="0.3">
      <c r="A154" s="162"/>
      <c r="D154" s="161"/>
      <c r="F154" s="161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</row>
    <row r="155" spans="1:29" s="159" customFormat="1" x14ac:dyDescent="0.3">
      <c r="A155" s="162"/>
      <c r="D155" s="161"/>
      <c r="F155" s="161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</row>
    <row r="156" spans="1:29" s="159" customFormat="1" x14ac:dyDescent="0.3">
      <c r="A156" s="162"/>
      <c r="D156" s="161"/>
      <c r="F156" s="161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  <c r="AA156" s="160"/>
      <c r="AB156" s="160"/>
      <c r="AC156" s="160"/>
    </row>
    <row r="157" spans="1:29" s="159" customFormat="1" x14ac:dyDescent="0.3">
      <c r="A157" s="162"/>
      <c r="D157" s="161"/>
      <c r="F157" s="161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</row>
    <row r="158" spans="1:29" s="159" customFormat="1" x14ac:dyDescent="0.3">
      <c r="A158" s="162"/>
      <c r="D158" s="161"/>
      <c r="F158" s="161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  <c r="AA158" s="160"/>
      <c r="AB158" s="160"/>
      <c r="AC158" s="160"/>
    </row>
    <row r="159" spans="1:29" s="159" customFormat="1" x14ac:dyDescent="0.3">
      <c r="A159" s="162"/>
      <c r="D159" s="161"/>
      <c r="F159" s="161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  <c r="AA159" s="160"/>
      <c r="AB159" s="160"/>
      <c r="AC159" s="160"/>
    </row>
    <row r="160" spans="1:29" s="159" customFormat="1" x14ac:dyDescent="0.3">
      <c r="A160" s="162"/>
      <c r="D160" s="161"/>
      <c r="F160" s="161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</row>
    <row r="161" spans="1:29" s="159" customFormat="1" x14ac:dyDescent="0.3">
      <c r="A161" s="162"/>
      <c r="D161" s="161"/>
      <c r="F161" s="161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/>
    </row>
    <row r="162" spans="1:29" s="159" customFormat="1" x14ac:dyDescent="0.3">
      <c r="A162" s="162"/>
      <c r="D162" s="161"/>
      <c r="F162" s="161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</row>
    <row r="163" spans="1:29" s="159" customFormat="1" x14ac:dyDescent="0.3">
      <c r="A163" s="162"/>
      <c r="D163" s="161"/>
      <c r="F163" s="161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  <c r="AA163" s="160"/>
      <c r="AB163" s="160"/>
      <c r="AC163" s="160"/>
    </row>
    <row r="164" spans="1:29" s="159" customFormat="1" x14ac:dyDescent="0.3">
      <c r="A164" s="162"/>
      <c r="D164" s="161"/>
      <c r="F164" s="161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</row>
    <row r="165" spans="1:29" s="159" customFormat="1" x14ac:dyDescent="0.3">
      <c r="A165" s="162"/>
      <c r="D165" s="161"/>
      <c r="F165" s="161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</row>
    <row r="166" spans="1:29" s="159" customFormat="1" x14ac:dyDescent="0.3">
      <c r="A166" s="162"/>
      <c r="D166" s="161"/>
      <c r="F166" s="161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</row>
    <row r="167" spans="1:29" s="159" customFormat="1" x14ac:dyDescent="0.3">
      <c r="A167" s="162"/>
      <c r="D167" s="161"/>
      <c r="F167" s="161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</row>
    <row r="168" spans="1:29" s="159" customFormat="1" x14ac:dyDescent="0.3">
      <c r="A168" s="162"/>
      <c r="D168" s="161"/>
      <c r="F168" s="161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</row>
    <row r="169" spans="1:29" s="159" customFormat="1" x14ac:dyDescent="0.3">
      <c r="A169" s="162"/>
      <c r="D169" s="161"/>
      <c r="F169" s="161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</row>
    <row r="170" spans="1:29" s="159" customFormat="1" x14ac:dyDescent="0.3">
      <c r="A170" s="162"/>
      <c r="D170" s="161"/>
      <c r="F170" s="161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</row>
    <row r="171" spans="1:29" s="159" customFormat="1" x14ac:dyDescent="0.3">
      <c r="A171" s="162"/>
      <c r="D171" s="161"/>
      <c r="F171" s="161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</row>
    <row r="172" spans="1:29" s="159" customFormat="1" x14ac:dyDescent="0.3">
      <c r="A172" s="162"/>
      <c r="D172" s="161"/>
      <c r="F172" s="161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</row>
    <row r="173" spans="1:29" s="159" customFormat="1" x14ac:dyDescent="0.3">
      <c r="A173" s="162"/>
      <c r="D173" s="161"/>
      <c r="F173" s="161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</row>
    <row r="174" spans="1:29" s="159" customFormat="1" x14ac:dyDescent="0.3">
      <c r="A174" s="162"/>
      <c r="D174" s="161"/>
      <c r="F174" s="161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  <c r="AA174" s="160"/>
      <c r="AB174" s="160"/>
      <c r="AC174" s="160"/>
    </row>
    <row r="175" spans="1:29" s="159" customFormat="1" x14ac:dyDescent="0.3">
      <c r="A175" s="162"/>
      <c r="D175" s="161"/>
      <c r="F175" s="161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</row>
    <row r="176" spans="1:29" s="159" customFormat="1" x14ac:dyDescent="0.3">
      <c r="A176" s="162"/>
      <c r="D176" s="161"/>
      <c r="F176" s="161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</row>
    <row r="177" spans="1:29" s="159" customFormat="1" x14ac:dyDescent="0.3">
      <c r="A177" s="162"/>
      <c r="D177" s="161"/>
      <c r="F177" s="161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</row>
    <row r="178" spans="1:29" s="159" customFormat="1" x14ac:dyDescent="0.3">
      <c r="A178" s="162"/>
      <c r="D178" s="161"/>
      <c r="F178" s="161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</row>
    <row r="179" spans="1:29" s="159" customFormat="1" x14ac:dyDescent="0.3">
      <c r="A179" s="162"/>
      <c r="D179" s="161"/>
      <c r="F179" s="161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</row>
    <row r="180" spans="1:29" s="159" customFormat="1" x14ac:dyDescent="0.3">
      <c r="A180" s="162"/>
      <c r="D180" s="161"/>
      <c r="F180" s="161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  <c r="AA180" s="160"/>
      <c r="AB180" s="160"/>
      <c r="AC180" s="160"/>
    </row>
    <row r="181" spans="1:29" s="159" customFormat="1" x14ac:dyDescent="0.3">
      <c r="A181" s="162"/>
      <c r="D181" s="161"/>
      <c r="F181" s="161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  <c r="AA181" s="160"/>
      <c r="AB181" s="160"/>
      <c r="AC181" s="160"/>
    </row>
    <row r="182" spans="1:29" s="159" customFormat="1" x14ac:dyDescent="0.3">
      <c r="A182" s="162"/>
      <c r="D182" s="161"/>
      <c r="F182" s="161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</row>
    <row r="183" spans="1:29" s="159" customFormat="1" x14ac:dyDescent="0.3">
      <c r="A183" s="162"/>
      <c r="D183" s="161"/>
      <c r="F183" s="161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  <c r="AA183" s="160"/>
      <c r="AB183" s="160"/>
      <c r="AC183" s="160"/>
    </row>
    <row r="184" spans="1:29" s="159" customFormat="1" x14ac:dyDescent="0.3">
      <c r="A184" s="162"/>
      <c r="D184" s="161"/>
      <c r="F184" s="161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  <c r="AA184" s="160"/>
      <c r="AB184" s="160"/>
      <c r="AC184" s="160"/>
    </row>
    <row r="185" spans="1:29" s="159" customFormat="1" x14ac:dyDescent="0.3">
      <c r="A185" s="162"/>
      <c r="D185" s="161"/>
      <c r="F185" s="161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</row>
    <row r="186" spans="1:29" s="159" customFormat="1" x14ac:dyDescent="0.3">
      <c r="A186" s="162"/>
      <c r="D186" s="161"/>
      <c r="F186" s="161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</row>
    <row r="187" spans="1:29" s="159" customFormat="1" x14ac:dyDescent="0.3">
      <c r="A187" s="162"/>
      <c r="D187" s="161"/>
      <c r="F187" s="161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</row>
    <row r="188" spans="1:29" s="159" customFormat="1" x14ac:dyDescent="0.3">
      <c r="A188" s="162"/>
      <c r="D188" s="161"/>
      <c r="F188" s="161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0"/>
    </row>
    <row r="189" spans="1:29" s="159" customFormat="1" x14ac:dyDescent="0.3">
      <c r="A189" s="162"/>
      <c r="D189" s="161"/>
      <c r="F189" s="161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  <c r="AC189" s="160"/>
    </row>
    <row r="190" spans="1:29" s="159" customFormat="1" x14ac:dyDescent="0.3">
      <c r="A190" s="162"/>
      <c r="D190" s="161"/>
      <c r="F190" s="161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</row>
    <row r="191" spans="1:29" s="159" customFormat="1" x14ac:dyDescent="0.3">
      <c r="A191" s="162"/>
      <c r="D191" s="161"/>
      <c r="F191" s="161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  <c r="AA191" s="160"/>
      <c r="AB191" s="160"/>
      <c r="AC191" s="160"/>
    </row>
    <row r="192" spans="1:29" s="159" customFormat="1" x14ac:dyDescent="0.3">
      <c r="A192" s="162"/>
      <c r="D192" s="161"/>
      <c r="F192" s="161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</row>
    <row r="193" spans="1:29" s="159" customFormat="1" x14ac:dyDescent="0.3">
      <c r="A193" s="162"/>
      <c r="D193" s="161"/>
      <c r="F193" s="161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  <c r="AA193" s="160"/>
      <c r="AB193" s="160"/>
      <c r="AC193" s="160"/>
    </row>
    <row r="194" spans="1:29" s="159" customFormat="1" x14ac:dyDescent="0.3">
      <c r="A194" s="162"/>
      <c r="D194" s="161"/>
      <c r="F194" s="161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</row>
    <row r="195" spans="1:29" s="159" customFormat="1" x14ac:dyDescent="0.3">
      <c r="A195" s="162"/>
      <c r="D195" s="161"/>
      <c r="F195" s="161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</row>
    <row r="196" spans="1:29" s="159" customFormat="1" x14ac:dyDescent="0.3">
      <c r="A196" s="162"/>
      <c r="D196" s="161"/>
      <c r="F196" s="161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0"/>
    </row>
    <row r="197" spans="1:29" s="159" customFormat="1" x14ac:dyDescent="0.3">
      <c r="A197" s="162"/>
      <c r="D197" s="161"/>
      <c r="F197" s="161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  <c r="AA197" s="160"/>
      <c r="AB197" s="160"/>
      <c r="AC197" s="160"/>
    </row>
    <row r="198" spans="1:29" s="159" customFormat="1" x14ac:dyDescent="0.3">
      <c r="A198" s="162"/>
      <c r="D198" s="161"/>
      <c r="F198" s="161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60"/>
      <c r="AC198" s="160"/>
    </row>
    <row r="199" spans="1:29" s="159" customFormat="1" x14ac:dyDescent="0.3">
      <c r="A199" s="162"/>
      <c r="D199" s="161"/>
      <c r="F199" s="161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</row>
    <row r="200" spans="1:29" s="159" customFormat="1" x14ac:dyDescent="0.3">
      <c r="A200" s="162"/>
      <c r="D200" s="161"/>
      <c r="F200" s="161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</row>
    <row r="201" spans="1:29" s="159" customFormat="1" x14ac:dyDescent="0.3">
      <c r="A201" s="162"/>
      <c r="D201" s="161"/>
      <c r="F201" s="161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160"/>
      <c r="AC201" s="160"/>
    </row>
    <row r="202" spans="1:29" s="159" customFormat="1" x14ac:dyDescent="0.3">
      <c r="A202" s="162"/>
      <c r="D202" s="161"/>
      <c r="F202" s="161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</row>
    <row r="203" spans="1:29" s="159" customFormat="1" x14ac:dyDescent="0.3">
      <c r="A203" s="162"/>
      <c r="D203" s="161"/>
      <c r="F203" s="161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</row>
    <row r="204" spans="1:29" s="159" customFormat="1" x14ac:dyDescent="0.3">
      <c r="A204" s="162"/>
      <c r="D204" s="161"/>
      <c r="F204" s="161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</row>
    <row r="205" spans="1:29" s="159" customFormat="1" x14ac:dyDescent="0.3">
      <c r="A205" s="162"/>
      <c r="D205" s="161"/>
      <c r="F205" s="161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</row>
    <row r="206" spans="1:29" s="159" customFormat="1" x14ac:dyDescent="0.3">
      <c r="A206" s="162"/>
      <c r="D206" s="161"/>
      <c r="F206" s="161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</row>
    <row r="207" spans="1:29" s="159" customFormat="1" x14ac:dyDescent="0.3">
      <c r="A207" s="162"/>
      <c r="D207" s="161"/>
      <c r="F207" s="161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</row>
    <row r="208" spans="1:29" s="159" customFormat="1" x14ac:dyDescent="0.3">
      <c r="A208" s="162"/>
      <c r="D208" s="161"/>
      <c r="F208" s="161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  <c r="AA208" s="160"/>
      <c r="AB208" s="160"/>
      <c r="AC208" s="160"/>
    </row>
    <row r="209" spans="1:29" s="159" customFormat="1" x14ac:dyDescent="0.3">
      <c r="A209" s="162"/>
      <c r="D209" s="161"/>
      <c r="F209" s="161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0"/>
    </row>
    <row r="210" spans="1:29" s="159" customFormat="1" x14ac:dyDescent="0.3">
      <c r="A210" s="162"/>
      <c r="D210" s="161"/>
      <c r="F210" s="161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  <c r="AA210" s="160"/>
      <c r="AB210" s="160"/>
      <c r="AC210" s="160"/>
    </row>
    <row r="211" spans="1:29" s="159" customFormat="1" x14ac:dyDescent="0.3">
      <c r="A211" s="162"/>
      <c r="D211" s="161"/>
      <c r="F211" s="161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  <c r="AA211" s="160"/>
      <c r="AB211" s="160"/>
      <c r="AC211" s="160"/>
    </row>
    <row r="212" spans="1:29" s="159" customFormat="1" x14ac:dyDescent="0.3">
      <c r="A212" s="162"/>
      <c r="D212" s="161"/>
      <c r="F212" s="161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</row>
    <row r="213" spans="1:29" s="159" customFormat="1" x14ac:dyDescent="0.3">
      <c r="A213" s="162"/>
      <c r="D213" s="161"/>
      <c r="F213" s="161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  <c r="AA213" s="160"/>
      <c r="AB213" s="160"/>
      <c r="AC213" s="160"/>
    </row>
    <row r="214" spans="1:29" s="159" customFormat="1" x14ac:dyDescent="0.3">
      <c r="A214" s="162"/>
      <c r="D214" s="161"/>
      <c r="F214" s="161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  <c r="AA214" s="160"/>
      <c r="AB214" s="160"/>
      <c r="AC214" s="160"/>
    </row>
    <row r="215" spans="1:29" s="159" customFormat="1" x14ac:dyDescent="0.3">
      <c r="A215" s="162"/>
      <c r="D215" s="161"/>
      <c r="F215" s="161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  <c r="AA215" s="160"/>
      <c r="AB215" s="160"/>
      <c r="AC215" s="160"/>
    </row>
    <row r="216" spans="1:29" s="159" customFormat="1" x14ac:dyDescent="0.3">
      <c r="A216" s="162"/>
      <c r="D216" s="161"/>
      <c r="F216" s="161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  <c r="AA216" s="160"/>
      <c r="AB216" s="160"/>
      <c r="AC216" s="160"/>
    </row>
    <row r="217" spans="1:29" s="159" customFormat="1" x14ac:dyDescent="0.3">
      <c r="A217" s="162"/>
      <c r="D217" s="161"/>
      <c r="F217" s="161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  <c r="AA217" s="160"/>
      <c r="AB217" s="160"/>
      <c r="AC217" s="160"/>
    </row>
    <row r="218" spans="1:29" s="159" customFormat="1" x14ac:dyDescent="0.3">
      <c r="A218" s="162"/>
      <c r="D218" s="161"/>
      <c r="F218" s="161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  <c r="AA218" s="160"/>
      <c r="AB218" s="160"/>
      <c r="AC218" s="160"/>
    </row>
    <row r="219" spans="1:29" s="159" customFormat="1" x14ac:dyDescent="0.3">
      <c r="A219" s="162"/>
      <c r="D219" s="161"/>
      <c r="F219" s="161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  <c r="AA219" s="160"/>
      <c r="AB219" s="160"/>
      <c r="AC219" s="160"/>
    </row>
    <row r="220" spans="1:29" s="159" customFormat="1" x14ac:dyDescent="0.3">
      <c r="A220" s="162"/>
      <c r="D220" s="161"/>
      <c r="F220" s="161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  <c r="AA220" s="160"/>
      <c r="AB220" s="160"/>
      <c r="AC220" s="160"/>
    </row>
    <row r="221" spans="1:29" s="159" customFormat="1" x14ac:dyDescent="0.3">
      <c r="A221" s="162"/>
      <c r="D221" s="161"/>
      <c r="F221" s="161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  <c r="AA221" s="160"/>
      <c r="AB221" s="160"/>
      <c r="AC221" s="160"/>
    </row>
    <row r="222" spans="1:29" s="159" customFormat="1" x14ac:dyDescent="0.3">
      <c r="A222" s="162"/>
      <c r="D222" s="161"/>
      <c r="F222" s="161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  <c r="AA222" s="160"/>
      <c r="AB222" s="160"/>
      <c r="AC222" s="160"/>
    </row>
    <row r="223" spans="1:29" s="159" customFormat="1" x14ac:dyDescent="0.3">
      <c r="A223" s="162"/>
      <c r="D223" s="161"/>
      <c r="F223" s="161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  <c r="AA223" s="160"/>
      <c r="AB223" s="160"/>
      <c r="AC223" s="160"/>
    </row>
    <row r="224" spans="1:29" s="159" customFormat="1" x14ac:dyDescent="0.3">
      <c r="A224" s="162"/>
      <c r="D224" s="161"/>
      <c r="F224" s="161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</row>
    <row r="225" spans="1:29" s="159" customFormat="1" x14ac:dyDescent="0.3">
      <c r="A225" s="162"/>
      <c r="D225" s="161"/>
      <c r="F225" s="161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  <c r="AA225" s="160"/>
      <c r="AB225" s="160"/>
      <c r="AC225" s="160"/>
    </row>
    <row r="226" spans="1:29" s="159" customFormat="1" x14ac:dyDescent="0.3">
      <c r="A226" s="162"/>
      <c r="D226" s="161"/>
      <c r="F226" s="161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  <c r="AA226" s="160"/>
      <c r="AB226" s="160"/>
      <c r="AC226" s="160"/>
    </row>
    <row r="227" spans="1:29" s="159" customFormat="1" x14ac:dyDescent="0.3">
      <c r="A227" s="162"/>
      <c r="D227" s="161"/>
      <c r="F227" s="161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  <c r="AA227" s="160"/>
      <c r="AB227" s="160"/>
      <c r="AC227" s="160"/>
    </row>
    <row r="228" spans="1:29" s="159" customFormat="1" x14ac:dyDescent="0.3">
      <c r="A228" s="162"/>
      <c r="D228" s="161"/>
      <c r="F228" s="161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  <c r="AA228" s="160"/>
      <c r="AB228" s="160"/>
      <c r="AC228" s="160"/>
    </row>
    <row r="229" spans="1:29" s="159" customFormat="1" x14ac:dyDescent="0.3">
      <c r="A229" s="162"/>
      <c r="D229" s="161"/>
      <c r="F229" s="161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  <c r="AA229" s="160"/>
      <c r="AB229" s="160"/>
      <c r="AC229" s="160"/>
    </row>
    <row r="230" spans="1:29" s="159" customFormat="1" x14ac:dyDescent="0.3">
      <c r="A230" s="162"/>
      <c r="D230" s="161"/>
      <c r="F230" s="161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  <c r="AA230" s="160"/>
      <c r="AB230" s="160"/>
      <c r="AC230" s="160"/>
    </row>
    <row r="231" spans="1:29" s="159" customFormat="1" x14ac:dyDescent="0.3">
      <c r="A231" s="162"/>
      <c r="D231" s="161"/>
      <c r="F231" s="161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  <c r="AA231" s="160"/>
      <c r="AB231" s="160"/>
      <c r="AC231" s="160"/>
    </row>
    <row r="232" spans="1:29" s="159" customFormat="1" x14ac:dyDescent="0.3">
      <c r="A232" s="162"/>
      <c r="D232" s="161"/>
      <c r="F232" s="161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  <c r="AA232" s="160"/>
      <c r="AB232" s="160"/>
      <c r="AC232" s="160"/>
    </row>
    <row r="233" spans="1:29" s="159" customFormat="1" x14ac:dyDescent="0.3">
      <c r="A233" s="162"/>
      <c r="D233" s="161"/>
      <c r="F233" s="161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  <c r="AA233" s="160"/>
      <c r="AB233" s="160"/>
      <c r="AC233" s="160"/>
    </row>
    <row r="234" spans="1:29" s="159" customFormat="1" x14ac:dyDescent="0.3">
      <c r="A234" s="162"/>
      <c r="D234" s="161"/>
      <c r="F234" s="161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  <c r="AA234" s="160"/>
      <c r="AB234" s="160"/>
      <c r="AC234" s="160"/>
    </row>
    <row r="235" spans="1:29" s="159" customFormat="1" x14ac:dyDescent="0.3">
      <c r="A235" s="162"/>
      <c r="D235" s="161"/>
      <c r="F235" s="161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  <c r="AA235" s="160"/>
      <c r="AB235" s="160"/>
      <c r="AC235" s="160"/>
    </row>
    <row r="236" spans="1:29" s="159" customFormat="1" x14ac:dyDescent="0.3">
      <c r="A236" s="162"/>
      <c r="D236" s="161"/>
      <c r="F236" s="161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  <c r="AA236" s="160"/>
      <c r="AB236" s="160"/>
      <c r="AC236" s="160"/>
    </row>
    <row r="237" spans="1:29" s="159" customFormat="1" x14ac:dyDescent="0.3">
      <c r="A237" s="162"/>
      <c r="D237" s="161"/>
      <c r="F237" s="161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  <c r="AA237" s="160"/>
      <c r="AB237" s="160"/>
      <c r="AC237" s="160"/>
    </row>
    <row r="238" spans="1:29" s="159" customFormat="1" x14ac:dyDescent="0.3">
      <c r="A238" s="162"/>
      <c r="D238" s="161"/>
      <c r="F238" s="161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  <c r="AA238" s="160"/>
      <c r="AB238" s="160"/>
      <c r="AC238" s="160"/>
    </row>
    <row r="239" spans="1:29" s="159" customFormat="1" x14ac:dyDescent="0.3">
      <c r="A239" s="162"/>
      <c r="D239" s="161"/>
      <c r="F239" s="161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  <c r="AA239" s="160"/>
      <c r="AB239" s="160"/>
      <c r="AC239" s="160"/>
    </row>
    <row r="240" spans="1:29" s="159" customFormat="1" x14ac:dyDescent="0.3">
      <c r="A240" s="162"/>
      <c r="D240" s="161"/>
      <c r="F240" s="161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  <c r="AA240" s="160"/>
      <c r="AB240" s="160"/>
      <c r="AC240" s="160"/>
    </row>
    <row r="241" spans="1:29" s="159" customFormat="1" x14ac:dyDescent="0.3">
      <c r="A241" s="162"/>
      <c r="D241" s="161"/>
      <c r="F241" s="161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  <c r="AA241" s="160"/>
      <c r="AB241" s="160"/>
      <c r="AC241" s="160"/>
    </row>
    <row r="242" spans="1:29" s="159" customFormat="1" x14ac:dyDescent="0.3">
      <c r="A242" s="162"/>
      <c r="D242" s="161"/>
      <c r="F242" s="161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  <c r="AA242" s="160"/>
      <c r="AB242" s="160"/>
      <c r="AC242" s="160"/>
    </row>
    <row r="243" spans="1:29" s="159" customFormat="1" x14ac:dyDescent="0.3">
      <c r="A243" s="162"/>
      <c r="D243" s="161"/>
      <c r="F243" s="161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  <c r="AA243" s="160"/>
      <c r="AB243" s="160"/>
      <c r="AC243" s="160"/>
    </row>
    <row r="244" spans="1:29" s="159" customFormat="1" x14ac:dyDescent="0.3">
      <c r="A244" s="162"/>
      <c r="D244" s="161"/>
      <c r="F244" s="161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  <c r="AA244" s="160"/>
      <c r="AB244" s="160"/>
      <c r="AC244" s="160"/>
    </row>
    <row r="245" spans="1:29" s="159" customFormat="1" x14ac:dyDescent="0.3">
      <c r="A245" s="162"/>
      <c r="D245" s="161"/>
      <c r="F245" s="161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  <c r="AA245" s="160"/>
      <c r="AB245" s="160"/>
      <c r="AC245" s="160"/>
    </row>
    <row r="246" spans="1:29" s="159" customFormat="1" x14ac:dyDescent="0.3">
      <c r="A246" s="162"/>
      <c r="D246" s="161"/>
      <c r="F246" s="161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  <c r="AA246" s="160"/>
      <c r="AB246" s="160"/>
      <c r="AC246" s="160"/>
    </row>
    <row r="247" spans="1:29" s="159" customFormat="1" x14ac:dyDescent="0.3">
      <c r="A247" s="162"/>
      <c r="D247" s="161"/>
      <c r="F247" s="161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  <c r="AA247" s="160"/>
      <c r="AB247" s="160"/>
      <c r="AC247" s="160"/>
    </row>
    <row r="248" spans="1:29" s="159" customFormat="1" x14ac:dyDescent="0.3">
      <c r="A248" s="162"/>
      <c r="D248" s="161"/>
      <c r="F248" s="161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  <c r="AA248" s="160"/>
      <c r="AB248" s="160"/>
      <c r="AC248" s="160"/>
    </row>
    <row r="249" spans="1:29" s="159" customFormat="1" x14ac:dyDescent="0.3">
      <c r="A249" s="162"/>
      <c r="D249" s="161"/>
      <c r="F249" s="161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  <c r="AA249" s="160"/>
      <c r="AB249" s="160"/>
      <c r="AC249" s="160"/>
    </row>
    <row r="250" spans="1:29" s="159" customFormat="1" x14ac:dyDescent="0.3">
      <c r="A250" s="162"/>
      <c r="D250" s="161"/>
      <c r="F250" s="161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  <c r="AA250" s="160"/>
      <c r="AB250" s="160"/>
      <c r="AC250" s="160"/>
    </row>
    <row r="251" spans="1:29" s="159" customFormat="1" x14ac:dyDescent="0.3">
      <c r="A251" s="162"/>
      <c r="D251" s="161"/>
      <c r="F251" s="161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  <c r="AA251" s="160"/>
      <c r="AB251" s="160"/>
      <c r="AC251" s="160"/>
    </row>
    <row r="252" spans="1:29" s="159" customFormat="1" x14ac:dyDescent="0.3">
      <c r="A252" s="162"/>
      <c r="D252" s="161"/>
      <c r="F252" s="161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  <c r="AA252" s="160"/>
      <c r="AB252" s="160"/>
      <c r="AC252" s="160"/>
    </row>
    <row r="253" spans="1:29" s="159" customFormat="1" x14ac:dyDescent="0.3">
      <c r="A253" s="162"/>
      <c r="D253" s="161"/>
      <c r="F253" s="161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  <c r="AA253" s="160"/>
      <c r="AB253" s="160"/>
      <c r="AC253" s="160"/>
    </row>
    <row r="254" spans="1:29" s="159" customFormat="1" x14ac:dyDescent="0.3">
      <c r="A254" s="162"/>
      <c r="D254" s="161"/>
      <c r="F254" s="161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  <c r="AA254" s="160"/>
      <c r="AB254" s="160"/>
      <c r="AC254" s="160"/>
    </row>
    <row r="255" spans="1:29" s="159" customFormat="1" x14ac:dyDescent="0.3">
      <c r="A255" s="162"/>
      <c r="D255" s="161"/>
      <c r="F255" s="161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  <c r="AA255" s="160"/>
      <c r="AB255" s="160"/>
      <c r="AC255" s="160"/>
    </row>
    <row r="256" spans="1:29" s="159" customFormat="1" x14ac:dyDescent="0.3">
      <c r="A256" s="162"/>
      <c r="D256" s="161"/>
      <c r="F256" s="161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  <c r="AA256" s="160"/>
      <c r="AB256" s="160"/>
      <c r="AC256" s="160"/>
    </row>
    <row r="257" spans="1:29" s="159" customFormat="1" x14ac:dyDescent="0.3">
      <c r="A257" s="162"/>
      <c r="D257" s="161"/>
      <c r="F257" s="161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  <c r="AA257" s="160"/>
      <c r="AB257" s="160"/>
      <c r="AC257" s="160"/>
    </row>
    <row r="258" spans="1:29" s="159" customFormat="1" x14ac:dyDescent="0.3">
      <c r="A258" s="162"/>
      <c r="D258" s="161"/>
      <c r="F258" s="161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  <c r="AA258" s="160"/>
      <c r="AB258" s="160"/>
      <c r="AC258" s="160"/>
    </row>
    <row r="259" spans="1:29" s="159" customFormat="1" x14ac:dyDescent="0.3">
      <c r="A259" s="162"/>
      <c r="D259" s="161"/>
      <c r="F259" s="161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  <c r="AA259" s="160"/>
      <c r="AB259" s="160"/>
      <c r="AC259" s="160"/>
    </row>
    <row r="260" spans="1:29" s="159" customFormat="1" x14ac:dyDescent="0.3">
      <c r="A260" s="162"/>
      <c r="D260" s="161"/>
      <c r="F260" s="161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  <c r="AA260" s="160"/>
      <c r="AB260" s="160"/>
      <c r="AC260" s="160"/>
    </row>
    <row r="261" spans="1:29" s="159" customFormat="1" x14ac:dyDescent="0.3">
      <c r="A261" s="162"/>
      <c r="D261" s="161"/>
      <c r="F261" s="161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  <c r="AA261" s="160"/>
      <c r="AB261" s="160"/>
      <c r="AC261" s="160"/>
    </row>
    <row r="262" spans="1:29" s="159" customFormat="1" x14ac:dyDescent="0.3">
      <c r="A262" s="162"/>
      <c r="D262" s="161"/>
      <c r="F262" s="161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  <c r="AA262" s="160"/>
      <c r="AB262" s="160"/>
      <c r="AC262" s="160"/>
    </row>
    <row r="263" spans="1:29" s="159" customFormat="1" x14ac:dyDescent="0.3">
      <c r="A263" s="162"/>
      <c r="D263" s="161"/>
      <c r="F263" s="161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  <c r="AA263" s="160"/>
      <c r="AB263" s="160"/>
      <c r="AC263" s="160"/>
    </row>
    <row r="264" spans="1:29" s="159" customFormat="1" x14ac:dyDescent="0.3">
      <c r="A264" s="162"/>
      <c r="D264" s="161"/>
      <c r="F264" s="161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  <c r="AA264" s="160"/>
      <c r="AB264" s="160"/>
      <c r="AC264" s="160"/>
    </row>
    <row r="265" spans="1:29" s="159" customFormat="1" x14ac:dyDescent="0.3">
      <c r="A265" s="162"/>
      <c r="D265" s="161"/>
      <c r="F265" s="161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  <c r="AA265" s="160"/>
      <c r="AB265" s="160"/>
      <c r="AC265" s="160"/>
    </row>
    <row r="266" spans="1:29" s="159" customFormat="1" x14ac:dyDescent="0.3">
      <c r="A266" s="162"/>
      <c r="D266" s="161"/>
      <c r="F266" s="161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  <c r="AA266" s="160"/>
      <c r="AB266" s="160"/>
      <c r="AC266" s="160"/>
    </row>
    <row r="267" spans="1:29" s="159" customFormat="1" x14ac:dyDescent="0.3">
      <c r="A267" s="162"/>
      <c r="D267" s="161"/>
      <c r="F267" s="161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  <c r="AA267" s="160"/>
      <c r="AB267" s="160"/>
      <c r="AC267" s="160"/>
    </row>
    <row r="268" spans="1:29" s="159" customFormat="1" x14ac:dyDescent="0.3">
      <c r="A268" s="162"/>
      <c r="D268" s="161"/>
      <c r="F268" s="161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  <c r="AA268" s="160"/>
      <c r="AB268" s="160"/>
      <c r="AC268" s="160"/>
    </row>
    <row r="269" spans="1:29" s="159" customFormat="1" x14ac:dyDescent="0.3">
      <c r="A269" s="162"/>
      <c r="D269" s="161"/>
      <c r="F269" s="161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  <c r="AA269" s="160"/>
      <c r="AB269" s="160"/>
      <c r="AC269" s="160"/>
    </row>
    <row r="270" spans="1:29" s="159" customFormat="1" x14ac:dyDescent="0.3">
      <c r="A270" s="162"/>
      <c r="D270" s="161"/>
      <c r="F270" s="161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  <c r="AA270" s="160"/>
      <c r="AB270" s="160"/>
      <c r="AC270" s="160"/>
    </row>
    <row r="271" spans="1:29" s="159" customFormat="1" x14ac:dyDescent="0.3">
      <c r="A271" s="162"/>
      <c r="D271" s="161"/>
      <c r="F271" s="161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  <c r="AA271" s="160"/>
      <c r="AB271" s="160"/>
      <c r="AC271" s="160"/>
    </row>
    <row r="272" spans="1:29" s="159" customFormat="1" x14ac:dyDescent="0.3">
      <c r="A272" s="162"/>
      <c r="D272" s="161"/>
      <c r="F272" s="161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  <c r="AA272" s="160"/>
      <c r="AB272" s="160"/>
      <c r="AC272" s="160"/>
    </row>
    <row r="273" spans="1:29" s="159" customFormat="1" x14ac:dyDescent="0.3">
      <c r="A273" s="162"/>
      <c r="D273" s="161"/>
      <c r="F273" s="161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  <c r="AA273" s="160"/>
      <c r="AB273" s="160"/>
      <c r="AC273" s="160"/>
    </row>
    <row r="274" spans="1:29" s="159" customFormat="1" x14ac:dyDescent="0.3">
      <c r="A274" s="162"/>
      <c r="D274" s="161"/>
      <c r="F274" s="161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  <c r="AA274" s="160"/>
      <c r="AB274" s="160"/>
      <c r="AC274" s="160"/>
    </row>
  </sheetData>
  <mergeCells count="13">
    <mergeCell ref="C12:C13"/>
    <mergeCell ref="D12:F12"/>
    <mergeCell ref="G12:G13"/>
    <mergeCell ref="H12:H13"/>
    <mergeCell ref="I12:I13"/>
    <mergeCell ref="J12:J13"/>
    <mergeCell ref="K12:K13"/>
    <mergeCell ref="A14:K14"/>
    <mergeCell ref="A1:G1"/>
    <mergeCell ref="A2:G2"/>
    <mergeCell ref="C8:E8"/>
    <mergeCell ref="A12:A13"/>
    <mergeCell ref="B12:B13"/>
  </mergeCells>
  <dataValidations count="1">
    <dataValidation type="textLength" operator="equal" allowBlank="1" showInputMessage="1" showErrorMessage="1" sqref="B15">
      <formula1>11</formula1>
    </dataValidation>
  </dataValidations>
  <printOptions horizontalCentered="1"/>
  <pageMargins left="0" right="0" top="0.5" bottom="0.5" header="0.511811023622047" footer="0.511811023622047"/>
  <pageSetup paperSize="9" scale="55" orientation="portrait" r:id="rId1"/>
  <headerFooter alignWithMargins="0"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SUMBER</vt:lpstr>
      <vt:lpstr>BOM</vt:lpstr>
      <vt:lpstr>Hardware</vt:lpstr>
      <vt:lpstr>old</vt:lpstr>
      <vt:lpstr>BOM!Print_Area</vt:lpstr>
      <vt:lpstr>Hardware!Print_Area</vt:lpstr>
      <vt:lpstr>old!Print_Area</vt:lpstr>
      <vt:lpstr>BOM!Print_Titles</vt:lpstr>
      <vt:lpstr>Hardware!Print_Titles</vt:lpstr>
      <vt:lpstr>old!Print_Titles</vt:lpstr>
      <vt:lpstr>SINGLE_DRESSER_5313_3D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pe-14</dc:creator>
  <cp:lastModifiedBy>Administrator</cp:lastModifiedBy>
  <cp:lastPrinted>2021-01-27T03:22:50Z</cp:lastPrinted>
  <dcterms:created xsi:type="dcterms:W3CDTF">2014-05-06T02:05:12Z</dcterms:created>
  <dcterms:modified xsi:type="dcterms:W3CDTF">2026-10-05T02:57:21Z</dcterms:modified>
</cp:coreProperties>
</file>